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\\wsl.localhost\Ubuntu\home\patri\projects\emma-openmc\Extras\2026-05-04 - FLiBe Li7 Study\"/>
    </mc:Choice>
  </mc:AlternateContent>
  <xr:revisionPtr revIDLastSave="0" documentId="13_ncr:1_{27DDF933-5E18-405B-9F42-B49263C2B0A1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" l="1"/>
  <c r="Q7" i="1"/>
  <c r="Q8" i="1"/>
  <c r="Q9" i="1"/>
  <c r="Q6" i="1"/>
</calcChain>
</file>

<file path=xl/sharedStrings.xml><?xml version="1.0" encoding="utf-8"?>
<sst xmlns="http://schemas.openxmlformats.org/spreadsheetml/2006/main" count="41" uniqueCount="25">
  <si>
    <t>Blanket</t>
  </si>
  <si>
    <t>Isotope</t>
  </si>
  <si>
    <t>FLiBe</t>
  </si>
  <si>
    <t>U238</t>
  </si>
  <si>
    <t>Th232</t>
  </si>
  <si>
    <t>Li-6</t>
  </si>
  <si>
    <t>[at%]</t>
  </si>
  <si>
    <t>Fertile</t>
  </si>
  <si>
    <t>Density</t>
  </si>
  <si>
    <t>[kg/m3]</t>
  </si>
  <si>
    <t>TBR</t>
  </si>
  <si>
    <t>stdev</t>
  </si>
  <si>
    <t>Total</t>
  </si>
  <si>
    <t>Fission</t>
  </si>
  <si>
    <t>Heating</t>
  </si>
  <si>
    <t>Tot - Fis</t>
  </si>
  <si>
    <t>Value</t>
  </si>
  <si>
    <t>St-dev</t>
  </si>
  <si>
    <t>Fertile (n,g)/src-n</t>
  </si>
  <si>
    <t>Leaked n/src-n</t>
  </si>
  <si>
    <t>Fertile kg/yr</t>
  </si>
  <si>
    <t>U235</t>
  </si>
  <si>
    <t>For 1000 kg/m3</t>
  </si>
  <si>
    <t>(n,fis)/src-n</t>
  </si>
  <si>
    <t>Total (n,fis)/src-n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</si>
</sst>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T16"/>
  <sheetViews>
    <sheetView tabSelected="1" zoomScale="145" zoomScaleNormal="145" workbookViewId="0">
      <selection activeCell="P17" sqref="P17"/>
    </sheetView>
  </sheetViews>
  <sheetFormatPr defaultRowHeight="14.4" x14ac:dyDescent="0.3"/>
  <cols>
    <col min="1" max="1" width="8.88671875" customWidth="1"/>
    <col min="5" max="5" width="2.21875" customWidth="1"/>
    <col min="10" max="10" width="10.33203125" customWidth="1"/>
    <col min="14" max="14" width="2.21875" customWidth="1"/>
    <col min="18" max="18" width="2.21875" customWidth="1"/>
  </cols>
  <sheetData>
    <row r="4" spans="1:20" x14ac:dyDescent="0.3">
      <c r="B4" s="1" t="s">
        <v>5</v>
      </c>
      <c r="C4" s="1" t="s">
        <v>7</v>
      </c>
      <c r="D4" s="1" t="s">
        <v>8</v>
      </c>
      <c r="E4" s="1"/>
      <c r="F4" s="1" t="s">
        <v>10</v>
      </c>
      <c r="G4" s="1"/>
      <c r="H4" s="1" t="s">
        <v>18</v>
      </c>
      <c r="J4" s="1" t="s">
        <v>20</v>
      </c>
      <c r="L4" s="1" t="s">
        <v>24</v>
      </c>
      <c r="O4" s="1" t="s">
        <v>14</v>
      </c>
      <c r="S4" s="1" t="s">
        <v>19</v>
      </c>
    </row>
    <row r="5" spans="1:20" x14ac:dyDescent="0.3">
      <c r="A5" s="1" t="s">
        <v>0</v>
      </c>
      <c r="B5" s="1" t="s">
        <v>6</v>
      </c>
      <c r="C5" s="1" t="s">
        <v>1</v>
      </c>
      <c r="D5" s="1" t="s">
        <v>9</v>
      </c>
      <c r="E5" s="1"/>
      <c r="F5" s="1" t="s">
        <v>16</v>
      </c>
      <c r="G5" s="1" t="s">
        <v>17</v>
      </c>
      <c r="H5" s="1" t="s">
        <v>16</v>
      </c>
      <c r="I5" s="1" t="s">
        <v>11</v>
      </c>
      <c r="J5" s="1" t="s">
        <v>16</v>
      </c>
      <c r="K5" s="1" t="s">
        <v>11</v>
      </c>
      <c r="L5" s="1" t="s">
        <v>16</v>
      </c>
      <c r="M5" s="1" t="s">
        <v>11</v>
      </c>
      <c r="O5" s="1" t="s">
        <v>12</v>
      </c>
      <c r="P5" s="1" t="s">
        <v>13</v>
      </c>
      <c r="Q5" s="1" t="s">
        <v>15</v>
      </c>
      <c r="S5" s="1" t="s">
        <v>16</v>
      </c>
      <c r="T5" s="1" t="s">
        <v>11</v>
      </c>
    </row>
    <row r="6" spans="1:20" x14ac:dyDescent="0.3">
      <c r="A6" t="s">
        <v>2</v>
      </c>
      <c r="B6">
        <v>0</v>
      </c>
      <c r="C6" t="s">
        <v>3</v>
      </c>
      <c r="D6">
        <v>0</v>
      </c>
      <c r="F6">
        <v>0.108954927972483</v>
      </c>
      <c r="G6" s="2">
        <v>2.01396393623147E-5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O6">
        <v>1006.8496270316</v>
      </c>
      <c r="P6">
        <v>0</v>
      </c>
      <c r="Q6">
        <f>O6-P6</f>
        <v>1006.8496270316</v>
      </c>
      <c r="S6">
        <v>4.2192729999999901E-2</v>
      </c>
      <c r="T6" s="2">
        <v>2.3644361202756801E-5</v>
      </c>
    </row>
    <row r="7" spans="1:20" x14ac:dyDescent="0.3">
      <c r="A7" t="s">
        <v>2</v>
      </c>
      <c r="B7">
        <v>0</v>
      </c>
      <c r="C7" t="s">
        <v>3</v>
      </c>
      <c r="D7">
        <v>1000</v>
      </c>
      <c r="F7">
        <v>8.3009676050873005E-2</v>
      </c>
      <c r="G7" s="2">
        <v>1.7800454467309999E-5</v>
      </c>
      <c r="H7">
        <v>1.1804389805533699</v>
      </c>
      <c r="I7">
        <v>2.3872931118080001E-4</v>
      </c>
      <c r="J7">
        <v>5241.0309329314896</v>
      </c>
      <c r="K7">
        <v>1.05993424912954</v>
      </c>
      <c r="L7">
        <v>0.14788484334959401</v>
      </c>
      <c r="M7" s="2">
        <v>2.5402600980351901E-5</v>
      </c>
      <c r="O7">
        <v>2627.8877302646802</v>
      </c>
      <c r="P7">
        <v>1616.9383178128701</v>
      </c>
      <c r="Q7">
        <f t="shared" ref="Q7:Q9" si="0">O7-P7</f>
        <v>1010.9494124518101</v>
      </c>
      <c r="S7">
        <v>7.4038749999999999E-3</v>
      </c>
      <c r="T7" s="2">
        <v>2.2721082048215801E-5</v>
      </c>
    </row>
    <row r="8" spans="1:20" x14ac:dyDescent="0.3">
      <c r="A8" t="s">
        <v>2</v>
      </c>
      <c r="B8">
        <v>0</v>
      </c>
      <c r="C8" t="s">
        <v>4</v>
      </c>
      <c r="D8">
        <v>0</v>
      </c>
      <c r="F8">
        <v>0.108954927972485</v>
      </c>
      <c r="G8" s="2">
        <v>2.0139639368875499E-5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O8">
        <v>1006.84962703161</v>
      </c>
      <c r="P8">
        <v>0</v>
      </c>
      <c r="Q8">
        <f t="shared" si="0"/>
        <v>1006.84962703161</v>
      </c>
      <c r="S8">
        <v>4.2192729999999901E-2</v>
      </c>
      <c r="T8" s="2">
        <v>2.3644361202756801E-5</v>
      </c>
    </row>
    <row r="9" spans="1:20" x14ac:dyDescent="0.3">
      <c r="A9" t="s">
        <v>2</v>
      </c>
      <c r="B9">
        <v>0</v>
      </c>
      <c r="C9" t="s">
        <v>4</v>
      </c>
      <c r="D9">
        <v>1000</v>
      </c>
      <c r="F9">
        <v>8.0283462156907501E-2</v>
      </c>
      <c r="G9" s="2">
        <v>1.3037482923413301E-5</v>
      </c>
      <c r="H9">
        <v>0.99726513095665403</v>
      </c>
      <c r="I9">
        <v>1.2821841715489999E-4</v>
      </c>
      <c r="J9">
        <v>4316.3924908442004</v>
      </c>
      <c r="K9">
        <v>0.55495875250802695</v>
      </c>
      <c r="L9">
        <v>1.39359927238042E-2</v>
      </c>
      <c r="M9" s="2">
        <v>1.73926813013695E-6</v>
      </c>
      <c r="O9">
        <v>1091.9315772366899</v>
      </c>
      <c r="P9">
        <v>142.510661250851</v>
      </c>
      <c r="Q9">
        <f t="shared" si="0"/>
        <v>949.42091598583897</v>
      </c>
      <c r="S9">
        <v>2.3705899999998999E-3</v>
      </c>
      <c r="T9" s="2">
        <v>4.9590590505367597E-6</v>
      </c>
    </row>
    <row r="11" spans="1:20" x14ac:dyDescent="0.3">
      <c r="I11" t="s">
        <v>22</v>
      </c>
    </row>
    <row r="12" spans="1:20" x14ac:dyDescent="0.3">
      <c r="I12" s="1" t="s">
        <v>23</v>
      </c>
    </row>
    <row r="13" spans="1:20" x14ac:dyDescent="0.3">
      <c r="I13" s="1" t="s">
        <v>16</v>
      </c>
      <c r="J13" s="1" t="s">
        <v>11</v>
      </c>
    </row>
    <row r="14" spans="1:20" x14ac:dyDescent="0.3">
      <c r="H14" t="s">
        <v>3</v>
      </c>
      <c r="I14">
        <v>5.1578018695522199E-2</v>
      </c>
      <c r="J14" s="2">
        <v>6.5608716573043603E-6</v>
      </c>
    </row>
    <row r="15" spans="1:20" x14ac:dyDescent="0.3">
      <c r="H15" t="s">
        <v>21</v>
      </c>
      <c r="I15">
        <f>0.147884843349594-0.0515780186955222</f>
        <v>9.630682465407181E-2</v>
      </c>
    </row>
    <row r="16" spans="1:20" x14ac:dyDescent="0.3">
      <c r="H16" t="s">
        <v>12</v>
      </c>
      <c r="I16">
        <v>0.14788484334959401</v>
      </c>
      <c r="J16" s="2">
        <v>2.5402600980351901E-5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2026-05-06T08:57:37Z</dcterms:modified>
</cp:coreProperties>
</file>