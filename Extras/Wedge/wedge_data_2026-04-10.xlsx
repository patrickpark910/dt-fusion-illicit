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patri\projects\emma-openmc\Extras\Wedge\"/>
    </mc:Choice>
  </mc:AlternateContent>
  <xr:revisionPtr revIDLastSave="0" documentId="13_ncr:1_{4EF3DB3D-6F58-4C66-B8A4-E067206D97C0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3" l="1"/>
  <c r="I23" i="3" s="1"/>
  <c r="H24" i="3"/>
  <c r="I24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I32" i="3" s="1"/>
  <c r="H33" i="3"/>
  <c r="I33" i="3" s="1"/>
  <c r="H34" i="3"/>
  <c r="I34" i="3" s="1"/>
  <c r="P51" i="3"/>
  <c r="Q51" i="3" s="1"/>
  <c r="H51" i="3"/>
  <c r="I51" i="3" s="1"/>
  <c r="P50" i="3"/>
  <c r="Q50" i="3" s="1"/>
  <c r="H50" i="3"/>
  <c r="I50" i="3" s="1"/>
  <c r="Q49" i="3"/>
  <c r="P49" i="3"/>
  <c r="H49" i="3"/>
  <c r="I49" i="3" s="1"/>
  <c r="P48" i="3"/>
  <c r="Q48" i="3" s="1"/>
  <c r="H48" i="3"/>
  <c r="I48" i="3" s="1"/>
  <c r="P47" i="3"/>
  <c r="Q47" i="3" s="1"/>
  <c r="H47" i="3"/>
  <c r="I47" i="3" s="1"/>
  <c r="P46" i="3"/>
  <c r="Q46" i="3" s="1"/>
  <c r="H46" i="3"/>
  <c r="I46" i="3" s="1"/>
  <c r="P45" i="3"/>
  <c r="Q45" i="3" s="1"/>
  <c r="H45" i="3"/>
  <c r="I45" i="3" s="1"/>
  <c r="P44" i="3"/>
  <c r="Q44" i="3" s="1"/>
  <c r="H44" i="3"/>
  <c r="I44" i="3" s="1"/>
  <c r="P43" i="3"/>
  <c r="Q43" i="3" s="1"/>
  <c r="H43" i="3"/>
  <c r="I43" i="3" s="1"/>
  <c r="P42" i="3"/>
  <c r="Q42" i="3" s="1"/>
  <c r="H42" i="3"/>
  <c r="I42" i="3" s="1"/>
  <c r="P41" i="3"/>
  <c r="Q41" i="3" s="1"/>
  <c r="H41" i="3"/>
  <c r="I41" i="3" s="1"/>
  <c r="P40" i="3"/>
  <c r="Q40" i="3" s="1"/>
  <c r="H40" i="3"/>
  <c r="I40" i="3" s="1"/>
  <c r="P39" i="3"/>
  <c r="Q39" i="3" s="1"/>
  <c r="H39" i="3"/>
  <c r="I39" i="3" s="1"/>
  <c r="H58" i="3"/>
  <c r="I58" i="3" s="1"/>
  <c r="P58" i="3"/>
  <c r="Q58" i="3" s="1"/>
  <c r="H59" i="3"/>
  <c r="I59" i="3" s="1"/>
  <c r="P59" i="3"/>
  <c r="Q59" i="3" s="1"/>
  <c r="H60" i="3"/>
  <c r="I60" i="3" s="1"/>
  <c r="P60" i="3"/>
  <c r="Q60" i="3" s="1"/>
  <c r="H61" i="3"/>
  <c r="I61" i="3" s="1"/>
  <c r="P61" i="3"/>
  <c r="Q61" i="3" s="1"/>
  <c r="H62" i="3"/>
  <c r="I62" i="3" s="1"/>
  <c r="P62" i="3"/>
  <c r="Q62" i="3" s="1"/>
  <c r="H63" i="3"/>
  <c r="I63" i="3" s="1"/>
  <c r="P63" i="3"/>
  <c r="Q63" i="3" s="1"/>
  <c r="H64" i="3"/>
  <c r="I64" i="3" s="1"/>
  <c r="P64" i="3"/>
  <c r="Q64" i="3" s="1"/>
  <c r="H65" i="3"/>
  <c r="I65" i="3" s="1"/>
  <c r="P65" i="3"/>
  <c r="Q65" i="3" s="1"/>
  <c r="H66" i="3"/>
  <c r="I66" i="3" s="1"/>
  <c r="P66" i="3"/>
  <c r="Q66" i="3" s="1"/>
  <c r="H67" i="3"/>
  <c r="I67" i="3" s="1"/>
  <c r="P67" i="3"/>
  <c r="Q67" i="3" s="1"/>
  <c r="P104" i="3"/>
  <c r="Q104" i="3" s="1"/>
  <c r="H104" i="3"/>
  <c r="I104" i="3" s="1"/>
  <c r="P103" i="3"/>
  <c r="Q103" i="3" s="1"/>
  <c r="H103" i="3"/>
  <c r="I103" i="3" s="1"/>
  <c r="P102" i="3"/>
  <c r="Q102" i="3" s="1"/>
  <c r="H102" i="3"/>
  <c r="I102" i="3" s="1"/>
  <c r="P101" i="3"/>
  <c r="Q101" i="3" s="1"/>
  <c r="H101" i="3"/>
  <c r="I101" i="3" s="1"/>
  <c r="P100" i="3"/>
  <c r="Q100" i="3" s="1"/>
  <c r="H100" i="3"/>
  <c r="I100" i="3" s="1"/>
  <c r="P99" i="3"/>
  <c r="Q99" i="3" s="1"/>
  <c r="H99" i="3"/>
  <c r="I99" i="3" s="1"/>
  <c r="P98" i="3"/>
  <c r="Q98" i="3" s="1"/>
  <c r="H98" i="3"/>
  <c r="I98" i="3" s="1"/>
  <c r="P97" i="3"/>
  <c r="Q97" i="3" s="1"/>
  <c r="H97" i="3"/>
  <c r="I97" i="3" s="1"/>
  <c r="P96" i="3"/>
  <c r="Q96" i="3" s="1"/>
  <c r="H96" i="3"/>
  <c r="I96" i="3" s="1"/>
  <c r="P95" i="3"/>
  <c r="Q95" i="3" s="1"/>
  <c r="H95" i="3"/>
  <c r="I95" i="3" s="1"/>
  <c r="P94" i="3"/>
  <c r="Q94" i="3" s="1"/>
  <c r="H94" i="3"/>
  <c r="I94" i="3" s="1"/>
  <c r="P93" i="3"/>
  <c r="Q93" i="3" s="1"/>
  <c r="H93" i="3"/>
  <c r="I93" i="3" s="1"/>
  <c r="P92" i="3"/>
  <c r="Q92" i="3" s="1"/>
  <c r="H92" i="3"/>
  <c r="I92" i="3" s="1"/>
  <c r="P87" i="3"/>
  <c r="P86" i="3"/>
  <c r="P85" i="3"/>
  <c r="P84" i="3"/>
  <c r="P83" i="3"/>
  <c r="P82" i="3"/>
  <c r="P81" i="3"/>
  <c r="Q81" i="3" s="1"/>
  <c r="P80" i="3"/>
  <c r="Q80" i="3" s="1"/>
  <c r="P79" i="3"/>
  <c r="Q79" i="3" s="1"/>
  <c r="P78" i="3"/>
  <c r="Q78" i="3" s="1"/>
  <c r="P77" i="3"/>
  <c r="Q77" i="3" s="1"/>
  <c r="P76" i="3"/>
  <c r="Q76" i="3" s="1"/>
  <c r="P75" i="3"/>
  <c r="Q75" i="3" s="1"/>
  <c r="Q87" i="3"/>
  <c r="Q86" i="3"/>
  <c r="Q85" i="3"/>
  <c r="Q84" i="3"/>
  <c r="Q83" i="3"/>
  <c r="Q82" i="3"/>
  <c r="P69" i="3"/>
  <c r="Q69" i="3" s="1"/>
  <c r="P70" i="3"/>
  <c r="Q70" i="3" s="1"/>
  <c r="H76" i="3"/>
  <c r="I76" i="3" s="1"/>
  <c r="H77" i="3"/>
  <c r="I77" i="3" s="1"/>
  <c r="H78" i="3"/>
  <c r="I78" i="3" s="1"/>
  <c r="H79" i="3"/>
  <c r="I79" i="3" s="1"/>
  <c r="H80" i="3"/>
  <c r="I80" i="3" s="1"/>
  <c r="H81" i="3"/>
  <c r="I81" i="3" s="1"/>
  <c r="H82" i="3"/>
  <c r="I82" i="3" s="1"/>
  <c r="H83" i="3"/>
  <c r="I83" i="3" s="1"/>
  <c r="H84" i="3"/>
  <c r="I84" i="3" s="1"/>
  <c r="H85" i="3"/>
  <c r="I85" i="3" s="1"/>
  <c r="H86" i="3"/>
  <c r="I86" i="3" s="1"/>
  <c r="H87" i="3"/>
  <c r="I87" i="3" s="1"/>
  <c r="H68" i="3"/>
  <c r="I68" i="3" s="1"/>
  <c r="H69" i="3"/>
  <c r="I69" i="3" s="1"/>
  <c r="H70" i="3"/>
  <c r="I70" i="3" s="1"/>
  <c r="P23" i="3"/>
  <c r="Q23" i="3" s="1"/>
  <c r="P24" i="3"/>
  <c r="Q24" i="3" s="1"/>
  <c r="P25" i="3"/>
  <c r="Q25" i="3" s="1"/>
  <c r="P26" i="3"/>
  <c r="Q26" i="3" s="1"/>
  <c r="P27" i="3"/>
  <c r="Q27" i="3" s="1"/>
  <c r="P28" i="3"/>
  <c r="Q28" i="3" s="1"/>
  <c r="P29" i="3"/>
  <c r="Q29" i="3" s="1"/>
  <c r="P30" i="3"/>
  <c r="Q30" i="3" s="1"/>
  <c r="P31" i="3"/>
  <c r="Q31" i="3" s="1"/>
  <c r="P32" i="3"/>
  <c r="Q32" i="3" s="1"/>
  <c r="P33" i="3"/>
  <c r="Q33" i="3" s="1"/>
  <c r="P34" i="3"/>
  <c r="Q34" i="3" s="1"/>
  <c r="P6" i="3"/>
  <c r="Q6" i="3" s="1"/>
  <c r="P7" i="3"/>
  <c r="Q7" i="3" s="1"/>
  <c r="P8" i="3"/>
  <c r="Q8" i="3" s="1"/>
  <c r="P9" i="3"/>
  <c r="Q9" i="3" s="1"/>
  <c r="P10" i="3"/>
  <c r="Q10" i="3" s="1"/>
  <c r="P11" i="3"/>
  <c r="Q11" i="3" s="1"/>
  <c r="P12" i="3"/>
  <c r="Q12" i="3" s="1"/>
  <c r="P13" i="3"/>
  <c r="Q13" i="3" s="1"/>
  <c r="P14" i="3"/>
  <c r="Q14" i="3" s="1"/>
  <c r="P15" i="3"/>
  <c r="Q15" i="3" s="1"/>
  <c r="P16" i="3"/>
  <c r="Q16" i="3" s="1"/>
  <c r="P17" i="3"/>
  <c r="Q17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75" i="3"/>
  <c r="I75" i="3" s="1"/>
  <c r="P68" i="3"/>
  <c r="Q68" i="3" s="1"/>
  <c r="P22" i="3"/>
  <c r="Q22" i="3" s="1"/>
  <c r="P5" i="3"/>
  <c r="Q5" i="3" s="1"/>
  <c r="H22" i="3" l="1"/>
  <c r="I22" i="3" s="1"/>
  <c r="H5" i="3" l="1"/>
  <c r="I5" i="3" s="1"/>
</calcChain>
</file>

<file path=xl/sharedStrings.xml><?xml version="1.0" encoding="utf-8"?>
<sst xmlns="http://schemas.openxmlformats.org/spreadsheetml/2006/main" count="110" uniqueCount="15">
  <si>
    <t>Fertile kg/m3</t>
  </si>
  <si>
    <t>D-shape</t>
  </si>
  <si>
    <t>TRITIUM BREEDING RATIO [ RXNS/SRC-N ]</t>
  </si>
  <si>
    <t>Thorium BISO</t>
  </si>
  <si>
    <t>Uranium BISO</t>
  </si>
  <si>
    <t>FISSILE PRODUCTION RATE [ RXNS/SRC-N ]</t>
  </si>
  <si>
    <t>=C/A</t>
  </si>
  <si>
    <t>Prism A</t>
  </si>
  <si>
    <t>Prism A stdev</t>
  </si>
  <si>
    <t>Prism C</t>
  </si>
  <si>
    <t>Prism C stdev</t>
  </si>
  <si>
    <t>=C/A stdev</t>
  </si>
  <si>
    <t>FISSION RATE [ RXNS/SRC-N ]</t>
  </si>
  <si>
    <t>DCLL</t>
  </si>
  <si>
    <t>HCPB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</si>
</sst>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1" fontId="0" fillId="0" borderId="0" xfId="0" applyNumberFormat="1"/>
    <xf numFmtId="0" fontId="0" fillId="3" borderId="0" xfId="0" applyFill="1"/>
    <xf numFmtId="11" fontId="0" fillId="3" borderId="0" xfId="0" applyNumberFormat="1" applyFill="1"/>
    <xf numFmtId="0" fontId="1" fillId="2" borderId="0" xfId="0" applyFont="1" applyFill="1"/>
    <xf numFmtId="0" fontId="0" fillId="2" borderId="0" xfId="0" applyFill="1"/>
    <xf numFmtId="164" fontId="0" fillId="0" borderId="0" xfId="0" applyNumberFormat="1"/>
    <xf numFmtId="164" fontId="0" fillId="3" borderId="0" xfId="0" applyNumberFormat="1" applyFill="1"/>
    <xf numFmtId="11" fontId="2" fillId="0" borderId="0" xfId="0" applyNumberFormat="1" applyFont="1"/>
    <xf numFmtId="0" fontId="3" fillId="0" borderId="0" xfId="0" applyFont="1"/>
    <xf numFmtId="11" fontId="4" fillId="0" borderId="0" xfId="0" applyNumberFormat="1" applyFont="1"/>
    <xf numFmtId="0" fontId="5" fillId="0" borderId="0" xfId="0" applyFont="1"/>
    <xf numFmtId="0" fontId="0" fillId="4" borderId="0" xfId="0" applyFill="1"/>
    <xf numFmtId="0" fontId="1" fillId="4" borderId="0" xfId="0" applyFont="1" applyFill="1"/>
    <xf numFmtId="0" fontId="1" fillId="4" borderId="0" xfId="0" quotePrefix="1" applyFont="1" applyFill="1"/>
    <xf numFmtId="0" fontId="0" fillId="5" borderId="0" xfId="0" applyFill="1"/>
    <xf numFmtId="0" fontId="1" fillId="5" borderId="0" xfId="0" applyFont="1" applyFill="1"/>
    <xf numFmtId="0" fontId="1" fillId="5" borderId="0" xfId="0" quotePrefix="1" applyFont="1" applyFill="1"/>
    <xf numFmtId="11" fontId="6" fillId="0" borderId="0" xfId="0" applyNumberFormat="1" applyFont="1"/>
    <xf numFmtId="165" fontId="0" fillId="0" borderId="0" xfId="0" applyNumberFormat="1"/>
    <xf numFmtId="0" fontId="1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1'!$A$22:$A$34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1'!$H$22:$H$34</c:f>
              <c:numCache>
                <c:formatCode>0.0000</c:formatCode>
                <c:ptCount val="13"/>
                <c:pt idx="0">
                  <c:v>0.60921857304058236</c:v>
                </c:pt>
                <c:pt idx="1">
                  <c:v>0.6202561947395715</c:v>
                </c:pt>
                <c:pt idx="2">
                  <c:v>0.61752137885807601</c:v>
                </c:pt>
                <c:pt idx="3">
                  <c:v>0.63758916509434371</c:v>
                </c:pt>
                <c:pt idx="4">
                  <c:v>0.66203600474217295</c:v>
                </c:pt>
                <c:pt idx="5">
                  <c:v>0.70507179114481311</c:v>
                </c:pt>
                <c:pt idx="6">
                  <c:v>0.7294127014308962</c:v>
                </c:pt>
                <c:pt idx="7">
                  <c:v>0.75883175130100222</c:v>
                </c:pt>
                <c:pt idx="8">
                  <c:v>0.79545758961655577</c:v>
                </c:pt>
                <c:pt idx="9">
                  <c:v>0.84382782080221264</c:v>
                </c:pt>
                <c:pt idx="10">
                  <c:v>0.90466917724369844</c:v>
                </c:pt>
                <c:pt idx="11">
                  <c:v>0.93426211404435788</c:v>
                </c:pt>
                <c:pt idx="12">
                  <c:v>0.94461149030720559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9A-4093-8446-03EAE435C4F9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1'!$A$22:$A$34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1'!$P$22:$P$34</c:f>
              <c:numCache>
                <c:formatCode>0.0000</c:formatCode>
                <c:ptCount val="13"/>
                <c:pt idx="0">
                  <c:v>0.79502846395901039</c:v>
                </c:pt>
                <c:pt idx="1">
                  <c:v>0.79868938528194633</c:v>
                </c:pt>
                <c:pt idx="2">
                  <c:v>0.79518763707084539</c:v>
                </c:pt>
                <c:pt idx="3">
                  <c:v>0.80345865035736497</c:v>
                </c:pt>
                <c:pt idx="4">
                  <c:v>0.81088238286163838</c:v>
                </c:pt>
                <c:pt idx="5">
                  <c:v>0.82902260635681613</c:v>
                </c:pt>
                <c:pt idx="6">
                  <c:v>0.83691230418362095</c:v>
                </c:pt>
                <c:pt idx="7">
                  <c:v>0.85434998565560982</c:v>
                </c:pt>
                <c:pt idx="8">
                  <c:v>0.87107729502555376</c:v>
                </c:pt>
                <c:pt idx="9">
                  <c:v>0.89761675786997808</c:v>
                </c:pt>
                <c:pt idx="10">
                  <c:v>0.93561261604161028</c:v>
                </c:pt>
                <c:pt idx="11">
                  <c:v>0.94942620263109356</c:v>
                </c:pt>
                <c:pt idx="12">
                  <c:v>0.95529529971486393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9A-4093-8446-03EAE435C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162240"/>
        <c:axId val="1123278832"/>
      </c:scatterChart>
      <c:valAx>
        <c:axId val="11541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78832"/>
        <c:crosses val="autoZero"/>
        <c:crossBetween val="midCat"/>
      </c:valAx>
      <c:valAx>
        <c:axId val="1123278832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162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9577799650043737"/>
          <c:y val="0.59697852328854795"/>
          <c:w val="0.24177734033245843"/>
          <c:h val="7.91968054324794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1'!$A$5:$A$17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1'!$H$5:$H$17</c:f>
              <c:numCache>
                <c:formatCode>0.000000</c:formatCode>
                <c:ptCount val="13"/>
                <c:pt idx="0">
                  <c:v>0.9998603042189127</c:v>
                </c:pt>
                <c:pt idx="1">
                  <c:v>1.0000344135667951</c:v>
                </c:pt>
                <c:pt idx="2">
                  <c:v>0.99972875209679635</c:v>
                </c:pt>
                <c:pt idx="3">
                  <c:v>1.0004307004310948</c:v>
                </c:pt>
                <c:pt idx="4">
                  <c:v>0.99987294859246889</c:v>
                </c:pt>
                <c:pt idx="5">
                  <c:v>1.0034908088336543</c:v>
                </c:pt>
                <c:pt idx="6">
                  <c:v>1.0033956670138846</c:v>
                </c:pt>
                <c:pt idx="7">
                  <c:v>1.0064230040690332</c:v>
                </c:pt>
                <c:pt idx="8">
                  <c:v>1.0033930501844626</c:v>
                </c:pt>
                <c:pt idx="9">
                  <c:v>1.0056561246790048</c:v>
                </c:pt>
                <c:pt idx="10">
                  <c:v>1.0084253334590485</c:v>
                </c:pt>
                <c:pt idx="11">
                  <c:v>1.0092132738126995</c:v>
                </c:pt>
                <c:pt idx="12">
                  <c:v>1.0067671917223222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AF-4FCE-B287-FF786F74DDEF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1'!$A$5:$A$17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1'!$P$5:$P$17</c:f>
              <c:numCache>
                <c:formatCode>0.000000</c:formatCode>
                <c:ptCount val="13"/>
                <c:pt idx="0">
                  <c:v>0.99985164204500476</c:v>
                </c:pt>
                <c:pt idx="1">
                  <c:v>1.000048307802117</c:v>
                </c:pt>
                <c:pt idx="2">
                  <c:v>0.99965590519960335</c:v>
                </c:pt>
                <c:pt idx="3">
                  <c:v>1.0000262657831211</c:v>
                </c:pt>
                <c:pt idx="4">
                  <c:v>0.99791427508006425</c:v>
                </c:pt>
                <c:pt idx="5">
                  <c:v>1.0019971917206978</c:v>
                </c:pt>
                <c:pt idx="6">
                  <c:v>1.0001887595608641</c:v>
                </c:pt>
                <c:pt idx="7">
                  <c:v>1.0035315741212536</c:v>
                </c:pt>
                <c:pt idx="8">
                  <c:v>1.0026365736292491</c:v>
                </c:pt>
                <c:pt idx="9">
                  <c:v>1.0060724035768513</c:v>
                </c:pt>
                <c:pt idx="10">
                  <c:v>1.0087754771104167</c:v>
                </c:pt>
                <c:pt idx="11">
                  <c:v>1.0084712891808669</c:v>
                </c:pt>
                <c:pt idx="12">
                  <c:v>1.003839398792538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AF-4FCE-B287-FF786F74D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340016"/>
        <c:axId val="1342342896"/>
      </c:scatterChart>
      <c:valAx>
        <c:axId val="134234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42896"/>
        <c:crosses val="autoZero"/>
        <c:crossBetween val="midCat"/>
      </c:valAx>
      <c:valAx>
        <c:axId val="13423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40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1'!$A$58:$A$70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1'!$H$58:$H$70</c:f>
              <c:numCache>
                <c:formatCode>0.000000</c:formatCode>
                <c:ptCount val="13"/>
                <c:pt idx="0">
                  <c:v>0.99993437221506987</c:v>
                </c:pt>
                <c:pt idx="1">
                  <c:v>0.99989465428678881</c:v>
                </c:pt>
                <c:pt idx="2">
                  <c:v>1.0001118652934071</c:v>
                </c:pt>
                <c:pt idx="3">
                  <c:v>1.0006521541936946</c:v>
                </c:pt>
                <c:pt idx="4">
                  <c:v>1.0008552139696782</c:v>
                </c:pt>
                <c:pt idx="5">
                  <c:v>0.9985991170648062</c:v>
                </c:pt>
                <c:pt idx="6">
                  <c:v>1.000158697400007</c:v>
                </c:pt>
                <c:pt idx="7">
                  <c:v>0.99934719791660742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88-4E6E-B386-C7DF904D6E61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1'!$A$58:$A$70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1'!$P$58:$P$70</c:f>
              <c:numCache>
                <c:formatCode>0.000000</c:formatCode>
                <c:ptCount val="13"/>
                <c:pt idx="0">
                  <c:v>0.99993184010427161</c:v>
                </c:pt>
                <c:pt idx="1">
                  <c:v>0.99992154571058711</c:v>
                </c:pt>
                <c:pt idx="2">
                  <c:v>1.000128920820752</c:v>
                </c:pt>
                <c:pt idx="3">
                  <c:v>1.0007211723260472</c:v>
                </c:pt>
                <c:pt idx="4">
                  <c:v>1.0010026042601898</c:v>
                </c:pt>
                <c:pt idx="5">
                  <c:v>0.99988394710871187</c:v>
                </c:pt>
                <c:pt idx="6">
                  <c:v>0.99879697477531193</c:v>
                </c:pt>
                <c:pt idx="7">
                  <c:v>1.0012050548156031</c:v>
                </c:pt>
                <c:pt idx="8">
                  <c:v>0.99847576884532241</c:v>
                </c:pt>
                <c:pt idx="9">
                  <c:v>1.0014439295128328</c:v>
                </c:pt>
                <c:pt idx="10">
                  <c:v>0.99921943172111527</c:v>
                </c:pt>
                <c:pt idx="11">
                  <c:v>1.0014692509552563</c:v>
                </c:pt>
                <c:pt idx="12">
                  <c:v>1.0006593477660861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88-4E6E-B386-C7DF904D6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355856"/>
        <c:axId val="1342363056"/>
      </c:scatterChart>
      <c:valAx>
        <c:axId val="134235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63056"/>
        <c:crosses val="autoZero"/>
        <c:crossBetween val="midCat"/>
      </c:valAx>
      <c:valAx>
        <c:axId val="134236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5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1'!$A$75:$A$87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1'!$H$75:$H$87</c:f>
              <c:numCache>
                <c:formatCode>0.000000</c:formatCode>
                <c:ptCount val="13"/>
                <c:pt idx="0">
                  <c:v>0.98601165380192901</c:v>
                </c:pt>
                <c:pt idx="1">
                  <c:v>0.98603287402090212</c:v>
                </c:pt>
                <c:pt idx="2">
                  <c:v>0.9855719206675112</c:v>
                </c:pt>
                <c:pt idx="3">
                  <c:v>0.98634021323125154</c:v>
                </c:pt>
                <c:pt idx="4">
                  <c:v>0.9862332820411307</c:v>
                </c:pt>
                <c:pt idx="5">
                  <c:v>0.98647575468924231</c:v>
                </c:pt>
                <c:pt idx="6">
                  <c:v>0.98895995592999619</c:v>
                </c:pt>
                <c:pt idx="7">
                  <c:v>0.98981091518856013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62-4A7B-A534-AD8816811D32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1'!$A$75:$A$87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1'!$P$75:$P$87</c:f>
              <c:numCache>
                <c:formatCode>0.000000</c:formatCode>
                <c:ptCount val="13"/>
                <c:pt idx="0">
                  <c:v>0.98943213465866797</c:v>
                </c:pt>
                <c:pt idx="1">
                  <c:v>0.98955842468785971</c:v>
                </c:pt>
                <c:pt idx="2">
                  <c:v>0.99092684983558765</c:v>
                </c:pt>
                <c:pt idx="3">
                  <c:v>0.99194122282307995</c:v>
                </c:pt>
                <c:pt idx="4">
                  <c:v>0.99181184221971841</c:v>
                </c:pt>
                <c:pt idx="5">
                  <c:v>0.99043981308751894</c:v>
                </c:pt>
                <c:pt idx="6">
                  <c:v>0.99105825776439138</c:v>
                </c:pt>
                <c:pt idx="7">
                  <c:v>0.99365128006879655</c:v>
                </c:pt>
                <c:pt idx="8">
                  <c:v>0.9912245970448289</c:v>
                </c:pt>
                <c:pt idx="9">
                  <c:v>0.99416288046614987</c:v>
                </c:pt>
                <c:pt idx="10">
                  <c:v>0.99302714608761333</c:v>
                </c:pt>
                <c:pt idx="11">
                  <c:v>0.99504565831713798</c:v>
                </c:pt>
                <c:pt idx="12">
                  <c:v>0.99467808373198352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62-4A7B-A534-AD8816811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380336"/>
        <c:axId val="1342369296"/>
      </c:scatterChart>
      <c:valAx>
        <c:axId val="13423803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69296"/>
        <c:crosses val="autoZero"/>
        <c:crossBetween val="midCat"/>
      </c:valAx>
      <c:valAx>
        <c:axId val="1342369296"/>
        <c:scaling>
          <c:orientation val="minMax"/>
          <c:max val="1.08"/>
          <c:min val="1.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8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1'!$A$22:$A$34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1'!$H$22:$H$34</c:f>
              <c:numCache>
                <c:formatCode>0.0000</c:formatCode>
                <c:ptCount val="13"/>
                <c:pt idx="0">
                  <c:v>0.60921857304058236</c:v>
                </c:pt>
                <c:pt idx="1">
                  <c:v>0.6202561947395715</c:v>
                </c:pt>
                <c:pt idx="2">
                  <c:v>0.61752137885807601</c:v>
                </c:pt>
                <c:pt idx="3">
                  <c:v>0.63758916509434371</c:v>
                </c:pt>
                <c:pt idx="4">
                  <c:v>0.66203600474217295</c:v>
                </c:pt>
                <c:pt idx="5">
                  <c:v>0.70507179114481311</c:v>
                </c:pt>
                <c:pt idx="6">
                  <c:v>0.7294127014308962</c:v>
                </c:pt>
                <c:pt idx="7">
                  <c:v>0.75883175130100222</c:v>
                </c:pt>
                <c:pt idx="8">
                  <c:v>0.79545758961655577</c:v>
                </c:pt>
                <c:pt idx="9">
                  <c:v>0.84382782080221264</c:v>
                </c:pt>
                <c:pt idx="10">
                  <c:v>0.90466917724369844</c:v>
                </c:pt>
                <c:pt idx="11">
                  <c:v>0.93426211404435788</c:v>
                </c:pt>
                <c:pt idx="12">
                  <c:v>0.94461149030720559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88-40A7-9744-FFC75830134C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1'!$A$22:$A$34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1'!$P$22:$P$34</c:f>
              <c:numCache>
                <c:formatCode>0.0000</c:formatCode>
                <c:ptCount val="13"/>
                <c:pt idx="0">
                  <c:v>0.79502846395901039</c:v>
                </c:pt>
                <c:pt idx="1">
                  <c:v>0.79868938528194633</c:v>
                </c:pt>
                <c:pt idx="2">
                  <c:v>0.79518763707084539</c:v>
                </c:pt>
                <c:pt idx="3">
                  <c:v>0.80345865035736497</c:v>
                </c:pt>
                <c:pt idx="4">
                  <c:v>0.81088238286163838</c:v>
                </c:pt>
                <c:pt idx="5">
                  <c:v>0.82902260635681613</c:v>
                </c:pt>
                <c:pt idx="6">
                  <c:v>0.83691230418362095</c:v>
                </c:pt>
                <c:pt idx="7">
                  <c:v>0.85434998565560982</c:v>
                </c:pt>
                <c:pt idx="8">
                  <c:v>0.87107729502555376</c:v>
                </c:pt>
                <c:pt idx="9">
                  <c:v>0.89761675786997808</c:v>
                </c:pt>
                <c:pt idx="10">
                  <c:v>0.93561261604161028</c:v>
                </c:pt>
                <c:pt idx="11">
                  <c:v>0.94942620263109356</c:v>
                </c:pt>
                <c:pt idx="12">
                  <c:v>0.95529529971486393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88-40A7-9744-FFC758301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162240"/>
        <c:axId val="1123278832"/>
      </c:scatterChart>
      <c:valAx>
        <c:axId val="11541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78832"/>
        <c:crosses val="autoZero"/>
        <c:crossBetween val="midCat"/>
      </c:valAx>
      <c:valAx>
        <c:axId val="1123278832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162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1'!$A$75:$A$87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1'!$H$75:$H$87</c:f>
              <c:numCache>
                <c:formatCode>0.000000</c:formatCode>
                <c:ptCount val="13"/>
                <c:pt idx="0">
                  <c:v>0.98601165380192901</c:v>
                </c:pt>
                <c:pt idx="1">
                  <c:v>0.98603287402090212</c:v>
                </c:pt>
                <c:pt idx="2">
                  <c:v>0.9855719206675112</c:v>
                </c:pt>
                <c:pt idx="3">
                  <c:v>0.98634021323125154</c:v>
                </c:pt>
                <c:pt idx="4">
                  <c:v>0.9862332820411307</c:v>
                </c:pt>
                <c:pt idx="5">
                  <c:v>0.98647575468924231</c:v>
                </c:pt>
                <c:pt idx="6">
                  <c:v>0.98895995592999619</c:v>
                </c:pt>
                <c:pt idx="7">
                  <c:v>0.98981091518856013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50-436E-9F5E-D1F4ADB78459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1'!$A$75:$A$87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1'!$P$75:$P$87</c:f>
              <c:numCache>
                <c:formatCode>0.000000</c:formatCode>
                <c:ptCount val="13"/>
                <c:pt idx="0">
                  <c:v>0.98943213465866797</c:v>
                </c:pt>
                <c:pt idx="1">
                  <c:v>0.98955842468785971</c:v>
                </c:pt>
                <c:pt idx="2">
                  <c:v>0.99092684983558765</c:v>
                </c:pt>
                <c:pt idx="3">
                  <c:v>0.99194122282307995</c:v>
                </c:pt>
                <c:pt idx="4">
                  <c:v>0.99181184221971841</c:v>
                </c:pt>
                <c:pt idx="5">
                  <c:v>0.99043981308751894</c:v>
                </c:pt>
                <c:pt idx="6">
                  <c:v>0.99105825776439138</c:v>
                </c:pt>
                <c:pt idx="7">
                  <c:v>0.99365128006879655</c:v>
                </c:pt>
                <c:pt idx="8">
                  <c:v>0.9912245970448289</c:v>
                </c:pt>
                <c:pt idx="9">
                  <c:v>0.99416288046614987</c:v>
                </c:pt>
                <c:pt idx="10">
                  <c:v>0.99302714608761333</c:v>
                </c:pt>
                <c:pt idx="11">
                  <c:v>0.99504565831713798</c:v>
                </c:pt>
                <c:pt idx="12">
                  <c:v>0.99467808373198352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50-436E-9F5E-D1F4ADB78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04240"/>
        <c:axId val="41003280"/>
      </c:scatterChart>
      <c:valAx>
        <c:axId val="4100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3280"/>
        <c:crosses val="autoZero"/>
        <c:crossBetween val="midCat"/>
      </c:valAx>
      <c:valAx>
        <c:axId val="41003280"/>
        <c:scaling>
          <c:orientation val="minMax"/>
          <c:max val="1"/>
          <c:min val="0.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4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484037</xdr:colOff>
      <xdr:row>18</xdr:row>
      <xdr:rowOff>167641</xdr:rowOff>
    </xdr:from>
    <xdr:to>
      <xdr:col>25</xdr:col>
      <xdr:colOff>179237</xdr:colOff>
      <xdr:row>33</xdr:row>
      <xdr:rowOff>130535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5D9A80-E1AA-E71B-225B-10B9F8C8D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596348</xdr:colOff>
      <xdr:row>2</xdr:row>
      <xdr:rowOff>19878</xdr:rowOff>
    </xdr:from>
    <xdr:to>
      <xdr:col>25</xdr:col>
      <xdr:colOff>291548</xdr:colOff>
      <xdr:row>16</xdr:row>
      <xdr:rowOff>165652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FB409E-0F1D-3927-8CC6-C3C817ACD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53010</xdr:colOff>
      <xdr:row>56</xdr:row>
      <xdr:rowOff>159027</xdr:rowOff>
    </xdr:from>
    <xdr:to>
      <xdr:col>25</xdr:col>
      <xdr:colOff>357810</xdr:colOff>
      <xdr:row>71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F6E031-1B10-7A61-F473-7E5EC3DC0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417444</xdr:colOff>
      <xdr:row>89</xdr:row>
      <xdr:rowOff>152400</xdr:rowOff>
    </xdr:from>
    <xdr:to>
      <xdr:col>25</xdr:col>
      <xdr:colOff>112644</xdr:colOff>
      <xdr:row>104</xdr:row>
      <xdr:rowOff>112644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189E82-CA72-4B71-AFAB-BB81E355C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583097</xdr:colOff>
      <xdr:row>36</xdr:row>
      <xdr:rowOff>1</xdr:rowOff>
    </xdr:from>
    <xdr:to>
      <xdr:col>25</xdr:col>
      <xdr:colOff>278297</xdr:colOff>
      <xdr:row>50</xdr:row>
      <xdr:rowOff>145775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C834B8-CEE8-4D20-9A4D-2E5F10FBB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72</xdr:row>
      <xdr:rowOff>66259</xdr:rowOff>
    </xdr:from>
    <xdr:to>
      <xdr:col>25</xdr:col>
      <xdr:colOff>304800</xdr:colOff>
      <xdr:row>87</xdr:row>
      <xdr:rowOff>26503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584190-F101-F6B1-333F-2773F4588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16C2-1180-4450-A3B0-0B08DD9AEC85}">
  <dimension ref="A1:Q104"/>
  <sheetViews>
    <sheetView tabSelected="1" topLeftCell="A55" zoomScaleNormal="100" workbookViewId="0">
      <selection activeCell="K84" sqref="K84"/>
    </sheetView>
  </sheetViews>
  <sheetFormatPr defaultColWidth="8.77734375" defaultRowHeight="14.4" x14ac:dyDescent="0.3"/>
  <cols>
    <col min="1" max="1" width="12.33203125" customWidth="1"/>
    <col min="2" max="2" width="2.109375" customWidth="1"/>
    <col min="3" max="5" width="12.109375" customWidth="1"/>
    <col min="6" max="7" width="15.77734375" customWidth="1"/>
    <col min="8" max="8" width="12.44140625" customWidth="1"/>
    <col min="9" max="9" width="15.109375" customWidth="1"/>
    <col min="10" max="10" width="2.77734375" customWidth="1"/>
    <col min="11" max="13" width="13.33203125" customWidth="1"/>
    <col min="14" max="14" width="15.44140625" customWidth="1"/>
    <col min="15" max="15" width="14.109375" customWidth="1"/>
    <col min="16" max="16" width="12.109375" customWidth="1"/>
    <col min="17" max="17" width="12.77734375" customWidth="1"/>
  </cols>
  <sheetData>
    <row r="1" spans="1:17" s="21" customFormat="1" x14ac:dyDescent="0.3">
      <c r="C1" s="20" t="s">
        <v>14</v>
      </c>
      <c r="K1" s="20"/>
      <c r="L1" s="20"/>
      <c r="M1" s="20"/>
      <c r="N1" s="20"/>
    </row>
    <row r="2" spans="1:17" x14ac:dyDescent="0.3">
      <c r="C2" s="10" t="s">
        <v>2</v>
      </c>
      <c r="D2" s="10"/>
      <c r="E2" s="10"/>
      <c r="F2" s="11"/>
      <c r="G2" s="11"/>
      <c r="H2" s="11"/>
      <c r="K2" s="1"/>
      <c r="L2" s="1"/>
      <c r="M2" s="1"/>
      <c r="N2" s="1"/>
    </row>
    <row r="3" spans="1:17" x14ac:dyDescent="0.3">
      <c r="C3" s="12" t="s">
        <v>4</v>
      </c>
      <c r="D3" s="12"/>
      <c r="E3" s="12"/>
      <c r="F3" s="13"/>
      <c r="G3" s="13"/>
      <c r="H3" s="13"/>
      <c r="I3" s="12"/>
      <c r="K3" s="15" t="s">
        <v>3</v>
      </c>
      <c r="L3" s="15"/>
      <c r="M3" s="16"/>
      <c r="N3" s="16"/>
      <c r="O3" s="15"/>
      <c r="P3" s="15"/>
      <c r="Q3" s="15"/>
    </row>
    <row r="4" spans="1:17" x14ac:dyDescent="0.3">
      <c r="A4" s="4" t="s">
        <v>0</v>
      </c>
      <c r="B4" s="4"/>
      <c r="C4" s="13" t="s">
        <v>1</v>
      </c>
      <c r="D4" s="13" t="s">
        <v>7</v>
      </c>
      <c r="E4" s="13" t="s">
        <v>8</v>
      </c>
      <c r="F4" s="13" t="s">
        <v>9</v>
      </c>
      <c r="G4" s="13" t="s">
        <v>10</v>
      </c>
      <c r="H4" s="14" t="s">
        <v>6</v>
      </c>
      <c r="I4" s="14" t="s">
        <v>11</v>
      </c>
      <c r="J4" s="5"/>
      <c r="K4" s="16" t="s">
        <v>1</v>
      </c>
      <c r="L4" s="16" t="s">
        <v>7</v>
      </c>
      <c r="M4" s="16" t="s">
        <v>8</v>
      </c>
      <c r="N4" s="16" t="s">
        <v>9</v>
      </c>
      <c r="O4" s="16" t="s">
        <v>10</v>
      </c>
      <c r="P4" s="17" t="s">
        <v>6</v>
      </c>
      <c r="Q4" s="17" t="s">
        <v>11</v>
      </c>
    </row>
    <row r="5" spans="1:17" x14ac:dyDescent="0.3">
      <c r="A5">
        <v>0.1</v>
      </c>
      <c r="B5" s="3"/>
      <c r="D5">
        <v>1.38568705105649</v>
      </c>
      <c r="E5">
        <v>1.06766711697189E-4</v>
      </c>
      <c r="F5">
        <v>1.3854934764215501</v>
      </c>
      <c r="G5">
        <v>1.21692112817596E-4</v>
      </c>
      <c r="H5" s="6">
        <f t="shared" ref="H5:H17" si="0">F5/D5</f>
        <v>0.9998603042189127</v>
      </c>
      <c r="I5">
        <f>H5*((E5/D5)^2 +(G5/F5)^2)^0.5</f>
        <v>1.1682242876687881E-4</v>
      </c>
      <c r="J5" s="2"/>
      <c r="L5">
        <v>1.38569542224164</v>
      </c>
      <c r="M5">
        <v>1.04524729364728E-4</v>
      </c>
      <c r="N5">
        <v>1.38548984330255</v>
      </c>
      <c r="O5">
        <v>1.21508776325718E-4</v>
      </c>
      <c r="P5" s="6">
        <f t="shared" ref="P5:P17" si="1">N5/L5</f>
        <v>0.99985164204500476</v>
      </c>
      <c r="Q5">
        <f>P5*((M5/L5)^2 +(O5/N5)^2)^0.5</f>
        <v>1.1566053404779838E-4</v>
      </c>
    </row>
    <row r="6" spans="1:17" x14ac:dyDescent="0.3">
      <c r="A6">
        <v>0.5</v>
      </c>
      <c r="B6" s="3"/>
      <c r="D6">
        <v>1.38557490985293</v>
      </c>
      <c r="E6">
        <v>1.4744979759760099E-4</v>
      </c>
      <c r="F6">
        <v>1.38562259242764</v>
      </c>
      <c r="G6">
        <v>1.41590198134267E-4</v>
      </c>
      <c r="H6" s="6">
        <f t="shared" si="0"/>
        <v>1.0000344135667951</v>
      </c>
      <c r="I6">
        <f t="shared" ref="I6:I16" si="2">H6*((E6/D6)^2 +(G6/F6)^2)^0.5</f>
        <v>1.475400526786516E-4</v>
      </c>
      <c r="J6" s="2"/>
      <c r="L6">
        <v>1.3855158356775501</v>
      </c>
      <c r="M6">
        <v>1.45139969687137E-4</v>
      </c>
      <c r="N6">
        <v>1.3855827669023699</v>
      </c>
      <c r="O6">
        <v>1.42153780318111E-4</v>
      </c>
      <c r="P6" s="6">
        <f t="shared" si="1"/>
        <v>1.000048307802117</v>
      </c>
      <c r="Q6">
        <f t="shared" ref="Q6:Q16" si="3">P6*((M6/L6)^2 +(O6/N6)^2)^0.5</f>
        <v>1.4663372036719969E-4</v>
      </c>
    </row>
    <row r="7" spans="1:17" x14ac:dyDescent="0.3">
      <c r="A7">
        <v>1</v>
      </c>
      <c r="B7" s="3"/>
      <c r="D7">
        <v>1.3854701997740699</v>
      </c>
      <c r="E7">
        <v>1.18590366266381E-4</v>
      </c>
      <c r="F7">
        <v>1.3850943938874301</v>
      </c>
      <c r="G7">
        <v>1.15687396918844E-4</v>
      </c>
      <c r="H7" s="6">
        <f t="shared" si="0"/>
        <v>0.99972875209679635</v>
      </c>
      <c r="I7">
        <f t="shared" si="2"/>
        <v>1.1956163903207409E-4</v>
      </c>
      <c r="J7" s="2"/>
      <c r="L7">
        <v>1.3855004644369999</v>
      </c>
      <c r="M7">
        <v>1.17489357633876E-4</v>
      </c>
      <c r="N7">
        <v>1.3850237209312399</v>
      </c>
      <c r="O7">
        <v>1.1898853718211701E-4</v>
      </c>
      <c r="P7" s="6">
        <f t="shared" si="1"/>
        <v>0.99965590519960335</v>
      </c>
      <c r="Q7">
        <f t="shared" si="3"/>
        <v>1.2067125581283931E-4</v>
      </c>
    </row>
    <row r="8" spans="1:17" x14ac:dyDescent="0.3">
      <c r="A8">
        <v>10</v>
      </c>
      <c r="B8" s="3"/>
      <c r="D8">
        <v>1.38182742466079</v>
      </c>
      <c r="E8">
        <v>5.8826992728855398E-4</v>
      </c>
      <c r="F8">
        <v>1.38242257832829</v>
      </c>
      <c r="G8">
        <v>4.0062708048543301E-4</v>
      </c>
      <c r="H8" s="6">
        <f t="shared" si="0"/>
        <v>1.0004307004310948</v>
      </c>
      <c r="I8">
        <f t="shared" si="2"/>
        <v>5.1521789831282798E-4</v>
      </c>
      <c r="J8" s="2"/>
      <c r="L8">
        <v>1.3814926812914099</v>
      </c>
      <c r="M8">
        <v>6.1199152441115403E-4</v>
      </c>
      <c r="N8">
        <v>1.38152896727856</v>
      </c>
      <c r="O8">
        <v>4.2009791734311198E-4</v>
      </c>
      <c r="P8" s="6">
        <f t="shared" si="1"/>
        <v>1.0000262657831211</v>
      </c>
      <c r="Q8">
        <f t="shared" si="3"/>
        <v>5.3733016877644728E-4</v>
      </c>
    </row>
    <row r="9" spans="1:17" s="2" customFormat="1" x14ac:dyDescent="0.3">
      <c r="A9">
        <v>25</v>
      </c>
      <c r="B9" s="3"/>
      <c r="C9"/>
      <c r="D9">
        <v>1.3774171053326401</v>
      </c>
      <c r="E9">
        <v>1.4417544606322699E-3</v>
      </c>
      <c r="F9">
        <v>1.37724210255065</v>
      </c>
      <c r="G9">
        <v>1.2746675419086099E-3</v>
      </c>
      <c r="H9" s="6">
        <f t="shared" si="0"/>
        <v>0.99987294859246889</v>
      </c>
      <c r="I9">
        <f t="shared" si="2"/>
        <v>1.397030280451807E-3</v>
      </c>
      <c r="K9"/>
      <c r="L9">
        <v>1.37697576952697</v>
      </c>
      <c r="M9">
        <v>1.12026925426321E-3</v>
      </c>
      <c r="N9">
        <v>1.3741037768503199</v>
      </c>
      <c r="O9">
        <v>1.51167839369038E-3</v>
      </c>
      <c r="P9" s="6">
        <f t="shared" si="1"/>
        <v>0.99791427508006425</v>
      </c>
      <c r="Q9">
        <f t="shared" si="3"/>
        <v>1.3654161494401974E-3</v>
      </c>
    </row>
    <row r="10" spans="1:17" x14ac:dyDescent="0.3">
      <c r="A10">
        <v>50</v>
      </c>
      <c r="B10" s="3"/>
      <c r="D10">
        <v>1.3679348508498099</v>
      </c>
      <c r="E10">
        <v>1.3306686755892199E-3</v>
      </c>
      <c r="F10">
        <v>1.3727100499110201</v>
      </c>
      <c r="G10">
        <v>1.3206530177016201E-3</v>
      </c>
      <c r="H10" s="6">
        <f t="shared" si="0"/>
        <v>1.0034908088336543</v>
      </c>
      <c r="I10">
        <f t="shared" si="2"/>
        <v>1.3729314284567464E-3</v>
      </c>
      <c r="J10" s="2"/>
      <c r="L10">
        <v>1.3661603659296999</v>
      </c>
      <c r="M10">
        <v>1.34646090112148E-3</v>
      </c>
      <c r="N10">
        <v>1.36888885010168</v>
      </c>
      <c r="O10">
        <v>1.3723349104996601E-3</v>
      </c>
      <c r="P10" s="6">
        <f t="shared" si="1"/>
        <v>1.0019971917206978</v>
      </c>
      <c r="Q10">
        <f t="shared" si="3"/>
        <v>1.4086562192379159E-3</v>
      </c>
    </row>
    <row r="11" spans="1:17" s="2" customFormat="1" x14ac:dyDescent="0.3">
      <c r="A11">
        <v>75</v>
      </c>
      <c r="B11" s="3"/>
      <c r="C11"/>
      <c r="D11">
        <v>1.3609940904226101</v>
      </c>
      <c r="E11">
        <v>1.35720173161716E-3</v>
      </c>
      <c r="F11">
        <v>1.36561557316155</v>
      </c>
      <c r="G11">
        <v>1.1747450384018E-3</v>
      </c>
      <c r="H11" s="6">
        <f t="shared" si="0"/>
        <v>1.0033956670138846</v>
      </c>
      <c r="I11">
        <f t="shared" si="2"/>
        <v>1.3214505512160488E-3</v>
      </c>
      <c r="K11"/>
      <c r="L11">
        <v>1.3591069629303201</v>
      </c>
      <c r="M11">
        <v>1.19600014120634E-3</v>
      </c>
      <c r="N11">
        <v>1.35936350736381</v>
      </c>
      <c r="O11">
        <v>1.67778722661321E-3</v>
      </c>
      <c r="P11" s="6">
        <f t="shared" si="1"/>
        <v>1.0001887595608641</v>
      </c>
      <c r="Q11">
        <f t="shared" si="3"/>
        <v>1.5161165627240361E-3</v>
      </c>
    </row>
    <row r="12" spans="1:17" x14ac:dyDescent="0.3">
      <c r="A12">
        <v>100</v>
      </c>
      <c r="B12" s="3"/>
      <c r="D12">
        <v>1.3547132810815301</v>
      </c>
      <c r="E12">
        <v>1.4726289986260401E-3</v>
      </c>
      <c r="F12">
        <v>1.36341460999829</v>
      </c>
      <c r="G12">
        <v>1.4008126144078501E-3</v>
      </c>
      <c r="H12" s="6">
        <f t="shared" si="0"/>
        <v>1.0064230040690332</v>
      </c>
      <c r="I12">
        <f t="shared" si="2"/>
        <v>1.505357873796738E-3</v>
      </c>
      <c r="J12" s="2"/>
      <c r="L12">
        <v>1.3486259679520101</v>
      </c>
      <c r="M12">
        <v>1.4224880114464199E-3</v>
      </c>
      <c r="N12">
        <v>1.3533887405196801</v>
      </c>
      <c r="O12">
        <v>1.2958061153248699E-3</v>
      </c>
      <c r="P12" s="6">
        <f t="shared" si="1"/>
        <v>1.0035315741212536</v>
      </c>
      <c r="Q12">
        <f t="shared" si="3"/>
        <v>1.4295491548200695E-3</v>
      </c>
    </row>
    <row r="13" spans="1:17" x14ac:dyDescent="0.3">
      <c r="A13">
        <v>150</v>
      </c>
      <c r="B13" s="3"/>
      <c r="D13">
        <v>1.3468248513376599</v>
      </c>
      <c r="E13">
        <v>1.45615044289173E-3</v>
      </c>
      <c r="F13">
        <v>1.3513946956479299</v>
      </c>
      <c r="G13">
        <v>1.14533435975163E-3</v>
      </c>
      <c r="H13" s="6">
        <f t="shared" si="0"/>
        <v>1.0033930501844626</v>
      </c>
      <c r="I13">
        <f t="shared" si="2"/>
        <v>1.3784244221301813E-3</v>
      </c>
      <c r="J13" s="2"/>
      <c r="L13">
        <v>1.3366107593110099</v>
      </c>
      <c r="M13">
        <v>1.1588900508539501E-3</v>
      </c>
      <c r="N13">
        <v>1.34013483199158</v>
      </c>
      <c r="O13">
        <v>1.4207730259459101E-3</v>
      </c>
      <c r="P13" s="6">
        <f t="shared" si="1"/>
        <v>1.0026365736292491</v>
      </c>
      <c r="Q13">
        <f t="shared" si="3"/>
        <v>1.3731787771009375E-3</v>
      </c>
    </row>
    <row r="14" spans="1:17" s="2" customFormat="1" x14ac:dyDescent="0.3">
      <c r="A14">
        <v>250</v>
      </c>
      <c r="B14" s="3"/>
      <c r="C14"/>
      <c r="D14">
        <v>1.3240510132155701</v>
      </c>
      <c r="E14">
        <v>9.8796030501752401E-4</v>
      </c>
      <c r="F14">
        <v>1.33154001082768</v>
      </c>
      <c r="G14">
        <v>1.0862969111495599E-3</v>
      </c>
      <c r="H14" s="6">
        <f t="shared" si="0"/>
        <v>1.0056561246790048</v>
      </c>
      <c r="I14">
        <f t="shared" si="2"/>
        <v>1.1118410400524582E-3</v>
      </c>
      <c r="K14"/>
      <c r="L14">
        <v>1.30722047006895</v>
      </c>
      <c r="M14">
        <v>1.29401515382388E-3</v>
      </c>
      <c r="N14">
        <v>1.3151584403271299</v>
      </c>
      <c r="O14">
        <v>1.2557754907824E-3</v>
      </c>
      <c r="P14" s="6">
        <f t="shared" si="1"/>
        <v>1.0060724035768513</v>
      </c>
      <c r="Q14">
        <f t="shared" si="3"/>
        <v>1.3837178252034666E-3</v>
      </c>
    </row>
    <row r="15" spans="1:17" x14ac:dyDescent="0.3">
      <c r="A15">
        <v>500</v>
      </c>
      <c r="B15" s="3"/>
      <c r="D15">
        <v>1.2813997486989701</v>
      </c>
      <c r="E15">
        <v>1.7413146739448299E-3</v>
      </c>
      <c r="F15">
        <v>1.2921959688761</v>
      </c>
      <c r="G15">
        <v>1.47528947786596E-3</v>
      </c>
      <c r="H15" s="6">
        <f t="shared" si="0"/>
        <v>1.0084253334590485</v>
      </c>
      <c r="I15">
        <f t="shared" si="2"/>
        <v>1.7898094809989675E-3</v>
      </c>
      <c r="J15" s="2"/>
      <c r="L15">
        <v>1.2475103334797899</v>
      </c>
      <c r="M15">
        <v>1.7483187944625899E-3</v>
      </c>
      <c r="N15">
        <v>1.25845783185625</v>
      </c>
      <c r="O15">
        <v>1.6525826585459999E-3</v>
      </c>
      <c r="P15" s="6">
        <f t="shared" si="1"/>
        <v>1.0087754771104167</v>
      </c>
      <c r="Q15">
        <f t="shared" si="3"/>
        <v>1.9373993710566338E-3</v>
      </c>
    </row>
    <row r="16" spans="1:17" s="2" customFormat="1" x14ac:dyDescent="0.3">
      <c r="A16">
        <v>750</v>
      </c>
      <c r="B16" s="3"/>
      <c r="C16"/>
      <c r="D16">
        <v>1.2411843638183799</v>
      </c>
      <c r="E16">
        <v>1.47544283326764E-3</v>
      </c>
      <c r="F16">
        <v>1.2526197352142801</v>
      </c>
      <c r="G16">
        <v>1.37557999364616E-3</v>
      </c>
      <c r="H16" s="6">
        <f t="shared" si="0"/>
        <v>1.0092132738126995</v>
      </c>
      <c r="I16">
        <f t="shared" si="2"/>
        <v>1.6332608585574488E-3</v>
      </c>
      <c r="K16"/>
      <c r="L16">
        <v>1.19470771257209</v>
      </c>
      <c r="M16">
        <v>1.57262330104692E-3</v>
      </c>
      <c r="N16">
        <v>1.2048284270919001</v>
      </c>
      <c r="O16">
        <v>1.34046299939426E-3</v>
      </c>
      <c r="P16" s="6">
        <f t="shared" si="1"/>
        <v>1.0084712891808669</v>
      </c>
      <c r="Q16">
        <f t="shared" si="3"/>
        <v>1.7381247050213394E-3</v>
      </c>
    </row>
    <row r="17" spans="1:17" x14ac:dyDescent="0.3">
      <c r="A17">
        <v>999.99</v>
      </c>
      <c r="B17" s="3"/>
      <c r="D17">
        <v>1.2104169038614301</v>
      </c>
      <c r="E17">
        <v>1.4188935052501001E-3</v>
      </c>
      <c r="F17">
        <v>1.2186080271138</v>
      </c>
      <c r="G17">
        <v>1.2526044597517001E-3</v>
      </c>
      <c r="H17" s="6">
        <f t="shared" si="0"/>
        <v>1.0067671917223222</v>
      </c>
      <c r="I17">
        <f>H17*((E17/D17)^2 +(G17/F17)^2)^0.5</f>
        <v>1.5696238500205091E-3</v>
      </c>
      <c r="J17" s="2"/>
      <c r="L17">
        <v>1.15260452976926</v>
      </c>
      <c r="M17">
        <v>1.2188214945693099E-3</v>
      </c>
      <c r="N17">
        <v>1.15702983820913</v>
      </c>
      <c r="O17">
        <v>1.10294900031489E-3</v>
      </c>
      <c r="P17" s="6">
        <f t="shared" si="1"/>
        <v>1.003839398792538</v>
      </c>
      <c r="Q17">
        <f>P17*((M17/L17)^2 +(O17/N17)^2)^0.5</f>
        <v>1.4291594730581141E-3</v>
      </c>
    </row>
    <row r="19" spans="1:17" x14ac:dyDescent="0.3">
      <c r="C19" s="8" t="s">
        <v>5</v>
      </c>
      <c r="D19" s="8"/>
      <c r="E19" s="8"/>
      <c r="F19" s="9"/>
      <c r="G19" s="9"/>
      <c r="H19" s="9"/>
      <c r="I19" s="9"/>
      <c r="K19" s="1"/>
      <c r="L19" s="1"/>
      <c r="M19" s="1"/>
      <c r="N19" s="1"/>
    </row>
    <row r="20" spans="1:17" x14ac:dyDescent="0.3">
      <c r="C20" s="12" t="s">
        <v>4</v>
      </c>
      <c r="D20" s="12"/>
      <c r="E20" s="12"/>
      <c r="F20" s="13"/>
      <c r="G20" s="13"/>
      <c r="H20" s="13"/>
      <c r="I20" s="12"/>
      <c r="K20" s="15" t="s">
        <v>3</v>
      </c>
      <c r="L20" s="15"/>
      <c r="M20" s="16"/>
      <c r="N20" s="16"/>
      <c r="O20" s="15"/>
      <c r="P20" s="15"/>
      <c r="Q20" s="15"/>
    </row>
    <row r="21" spans="1:17" x14ac:dyDescent="0.3">
      <c r="A21" s="4" t="s">
        <v>0</v>
      </c>
      <c r="B21" s="4"/>
      <c r="C21" s="13" t="s">
        <v>1</v>
      </c>
      <c r="D21" s="13" t="s">
        <v>7</v>
      </c>
      <c r="E21" s="13" t="s">
        <v>8</v>
      </c>
      <c r="F21" s="13" t="s">
        <v>9</v>
      </c>
      <c r="G21" s="13" t="s">
        <v>10</v>
      </c>
      <c r="H21" s="14" t="s">
        <v>6</v>
      </c>
      <c r="I21" s="14" t="s">
        <v>11</v>
      </c>
      <c r="J21" s="5"/>
      <c r="K21" s="16" t="s">
        <v>1</v>
      </c>
      <c r="L21" s="16" t="s">
        <v>7</v>
      </c>
      <c r="M21" s="16" t="s">
        <v>8</v>
      </c>
      <c r="N21" s="16" t="s">
        <v>9</v>
      </c>
      <c r="O21" s="16" t="s">
        <v>10</v>
      </c>
      <c r="P21" s="17" t="s">
        <v>6</v>
      </c>
      <c r="Q21" s="17" t="s">
        <v>11</v>
      </c>
    </row>
    <row r="22" spans="1:17" x14ac:dyDescent="0.3">
      <c r="A22">
        <v>0.1</v>
      </c>
      <c r="B22" s="3"/>
      <c r="C22" s="1"/>
      <c r="D22" s="1">
        <v>3.4733623076722298E-5</v>
      </c>
      <c r="E22" s="1">
        <v>1.30389231676172E-8</v>
      </c>
      <c r="F22" s="1">
        <v>2.1160368287330199E-5</v>
      </c>
      <c r="G22" s="1">
        <v>2.0927702439166299E-7</v>
      </c>
      <c r="H22" s="19">
        <f t="shared" ref="H22:H34" si="4">F22/D22</f>
        <v>0.60921857304058236</v>
      </c>
      <c r="I22">
        <f>H22*((E22/D22)^2 +(G22/F22)^2)^0.5</f>
        <v>6.0295387816750243E-3</v>
      </c>
      <c r="J22" s="2"/>
      <c r="K22" s="1"/>
      <c r="L22" s="1">
        <v>3.03395026477764E-5</v>
      </c>
      <c r="M22" s="1">
        <v>6.6974630812900604E-9</v>
      </c>
      <c r="N22" s="1">
        <v>2.4120768187342001E-5</v>
      </c>
      <c r="O22" s="1">
        <v>1.9145364499554299E-7</v>
      </c>
      <c r="P22" s="19">
        <f t="shared" ref="P22:P34" si="5">N22/L22</f>
        <v>0.79502846395901039</v>
      </c>
      <c r="Q22">
        <f>P22*((M22/L22)^2 +(O22/N22)^2)^0.5</f>
        <v>6.3128152538764219E-3</v>
      </c>
    </row>
    <row r="23" spans="1:17" x14ac:dyDescent="0.3">
      <c r="A23">
        <v>0.5</v>
      </c>
      <c r="B23" s="3"/>
      <c r="D23">
        <v>1.73404176042568E-4</v>
      </c>
      <c r="E23" s="1">
        <v>6.8621557155502793E-8</v>
      </c>
      <c r="F23">
        <v>1.07555014384114E-4</v>
      </c>
      <c r="G23" s="1">
        <v>5.7726857720944404E-7</v>
      </c>
      <c r="H23" s="19">
        <f t="shared" si="4"/>
        <v>0.6202561947395715</v>
      </c>
      <c r="I23">
        <f t="shared" ref="I23:I33" si="6">H23*((E23/D23)^2 +(G23/F23)^2)^0.5</f>
        <v>3.3380716719281452E-3</v>
      </c>
      <c r="J23" s="2"/>
      <c r="L23">
        <v>1.5160590000534599E-4</v>
      </c>
      <c r="M23" s="1">
        <v>3.4761339275604597E-8</v>
      </c>
      <c r="N23">
        <v>1.21086023080386E-4</v>
      </c>
      <c r="O23" s="1">
        <v>4.68863518091893E-7</v>
      </c>
      <c r="P23" s="19">
        <f t="shared" si="5"/>
        <v>0.79868938528194633</v>
      </c>
      <c r="Q23">
        <f t="shared" ref="Q23:Q33" si="7">P23*((M23/L23)^2 +(O23/N23)^2)^0.5</f>
        <v>3.0980641245473535E-3</v>
      </c>
    </row>
    <row r="24" spans="1:17" x14ac:dyDescent="0.3">
      <c r="A24">
        <v>1</v>
      </c>
      <c r="B24" s="3"/>
      <c r="D24">
        <v>3.4620055489565998E-4</v>
      </c>
      <c r="E24" s="1">
        <v>1.2197857023302799E-7</v>
      </c>
      <c r="F24">
        <v>2.1378624402059899E-4</v>
      </c>
      <c r="G24" s="1">
        <v>5.2379806742420601E-7</v>
      </c>
      <c r="H24" s="19">
        <f t="shared" si="4"/>
        <v>0.61752137885807601</v>
      </c>
      <c r="I24">
        <f t="shared" si="6"/>
        <v>1.5285542650612621E-3</v>
      </c>
      <c r="J24" s="2"/>
      <c r="L24">
        <v>3.0294258379583801E-4</v>
      </c>
      <c r="M24" s="1">
        <v>6.6476745692023094E-8</v>
      </c>
      <c r="N24">
        <v>2.40896197376749E-4</v>
      </c>
      <c r="O24" s="1">
        <v>9.0505031340599802E-7</v>
      </c>
      <c r="P24" s="19">
        <f t="shared" si="5"/>
        <v>0.79518763707084539</v>
      </c>
      <c r="Q24">
        <f t="shared" si="7"/>
        <v>2.9926223455543194E-3</v>
      </c>
    </row>
    <row r="25" spans="1:17" x14ac:dyDescent="0.3">
      <c r="A25">
        <v>10</v>
      </c>
      <c r="B25" s="3"/>
      <c r="D25">
        <v>3.3406484225683799E-3</v>
      </c>
      <c r="E25" s="1">
        <v>4.6993656095804102E-6</v>
      </c>
      <c r="F25">
        <v>2.1299612386191098E-3</v>
      </c>
      <c r="G25" s="1">
        <v>7.9830127854263004E-6</v>
      </c>
      <c r="H25" s="19">
        <f t="shared" si="4"/>
        <v>0.63758916509434371</v>
      </c>
      <c r="I25">
        <f t="shared" si="6"/>
        <v>2.5524346806044579E-3</v>
      </c>
      <c r="J25" s="2"/>
      <c r="L25">
        <v>2.9840640787729901E-3</v>
      </c>
      <c r="M25" s="1">
        <v>2.3224778044521701E-6</v>
      </c>
      <c r="N25">
        <v>2.3975720973108401E-3</v>
      </c>
      <c r="O25" s="1">
        <v>5.9219411899510302E-6</v>
      </c>
      <c r="P25" s="19">
        <f t="shared" si="5"/>
        <v>0.80345865035736497</v>
      </c>
      <c r="Q25">
        <f t="shared" si="7"/>
        <v>2.0807117833009201E-3</v>
      </c>
    </row>
    <row r="26" spans="1:17" x14ac:dyDescent="0.3">
      <c r="A26">
        <v>25</v>
      </c>
      <c r="B26" s="3"/>
      <c r="D26">
        <v>7.9773077049013E-3</v>
      </c>
      <c r="E26" s="1">
        <v>3.0966508168675198E-5</v>
      </c>
      <c r="F26">
        <v>5.2812649215518096E-3</v>
      </c>
      <c r="G26" s="1">
        <v>3.8471504916950201E-5</v>
      </c>
      <c r="H26" s="19">
        <f t="shared" si="4"/>
        <v>0.66203600474217295</v>
      </c>
      <c r="I26">
        <f t="shared" si="6"/>
        <v>5.4646194580225092E-3</v>
      </c>
      <c r="J26" s="2"/>
      <c r="L26">
        <v>7.2878020288280601E-3</v>
      </c>
      <c r="M26" s="1">
        <v>1.7978747934444101E-5</v>
      </c>
      <c r="N26">
        <v>5.9095502749599797E-3</v>
      </c>
      <c r="O26" s="1">
        <v>3.18696827410922E-5</v>
      </c>
      <c r="P26" s="19">
        <f t="shared" si="5"/>
        <v>0.81088238286163838</v>
      </c>
      <c r="Q26">
        <f t="shared" si="7"/>
        <v>4.8088408512878518E-3</v>
      </c>
    </row>
    <row r="27" spans="1:17" x14ac:dyDescent="0.3">
      <c r="A27">
        <v>50</v>
      </c>
      <c r="B27" s="3"/>
      <c r="D27">
        <v>1.4888786588183199E-2</v>
      </c>
      <c r="E27" s="1">
        <v>4.0982429834026501E-5</v>
      </c>
      <c r="F27">
        <v>1.04976634277032E-2</v>
      </c>
      <c r="G27" s="1">
        <v>4.5047478405430597E-5</v>
      </c>
      <c r="H27" s="19">
        <f t="shared" si="4"/>
        <v>0.70507179114481311</v>
      </c>
      <c r="I27">
        <f t="shared" si="6"/>
        <v>3.5945499258486073E-3</v>
      </c>
      <c r="J27" s="2"/>
      <c r="L27">
        <v>1.41015088967267E-2</v>
      </c>
      <c r="M27" s="1">
        <v>3.2103914470105902E-5</v>
      </c>
      <c r="N27">
        <v>1.16904696591282E-2</v>
      </c>
      <c r="O27" s="1">
        <v>3.9763991456282801E-5</v>
      </c>
      <c r="P27" s="19">
        <f t="shared" si="5"/>
        <v>0.82902260635681613</v>
      </c>
      <c r="Q27">
        <f t="shared" si="7"/>
        <v>3.3931826596209033E-3</v>
      </c>
    </row>
    <row r="28" spans="1:17" x14ac:dyDescent="0.3">
      <c r="A28">
        <v>75</v>
      </c>
      <c r="B28" s="3"/>
      <c r="D28">
        <v>2.1127279055374901E-2</v>
      </c>
      <c r="E28" s="1">
        <v>6.9218675953497698E-5</v>
      </c>
      <c r="F28">
        <v>1.5410505689665401E-2</v>
      </c>
      <c r="G28" s="1">
        <v>5.7019554655065601E-5</v>
      </c>
      <c r="H28" s="19">
        <f t="shared" si="4"/>
        <v>0.7294127014308962</v>
      </c>
      <c r="I28">
        <f t="shared" si="6"/>
        <v>3.6048248029861962E-3</v>
      </c>
      <c r="J28" s="2"/>
      <c r="L28">
        <v>2.0589600884999198E-2</v>
      </c>
      <c r="M28" s="1">
        <v>5.0929027162677503E-5</v>
      </c>
      <c r="N28">
        <v>1.7231690318885801E-2</v>
      </c>
      <c r="O28" s="1">
        <v>7.9317497610751093E-5</v>
      </c>
      <c r="P28" s="19">
        <f t="shared" si="5"/>
        <v>0.83691230418362095</v>
      </c>
      <c r="Q28">
        <f t="shared" si="7"/>
        <v>4.3732957749830943E-3</v>
      </c>
    </row>
    <row r="29" spans="1:17" x14ac:dyDescent="0.3">
      <c r="A29">
        <v>100</v>
      </c>
      <c r="B29" s="3"/>
      <c r="D29">
        <v>2.6938831195993999E-2</v>
      </c>
      <c r="E29" s="1">
        <v>5.92615592377973E-5</v>
      </c>
      <c r="F29">
        <v>2.0442040454458198E-2</v>
      </c>
      <c r="G29" s="1">
        <v>6.7768751133343504E-5</v>
      </c>
      <c r="H29" s="19">
        <f t="shared" si="4"/>
        <v>0.75883175130100222</v>
      </c>
      <c r="I29">
        <f t="shared" si="6"/>
        <v>3.0191293561420119E-3</v>
      </c>
      <c r="J29" s="2"/>
      <c r="L29">
        <v>2.6787777537410701E-2</v>
      </c>
      <c r="M29" s="1">
        <v>5.6311212680318198E-5</v>
      </c>
      <c r="N29">
        <v>2.2886137354832501E-2</v>
      </c>
      <c r="O29" s="1">
        <v>7.3233726308046104E-5</v>
      </c>
      <c r="P29" s="19">
        <f t="shared" si="5"/>
        <v>0.85434998565560982</v>
      </c>
      <c r="Q29">
        <f t="shared" si="7"/>
        <v>3.270987741553931E-3</v>
      </c>
    </row>
    <row r="30" spans="1:17" x14ac:dyDescent="0.3">
      <c r="A30">
        <v>150</v>
      </c>
      <c r="B30" s="3"/>
      <c r="D30">
        <v>3.7562773914964001E-2</v>
      </c>
      <c r="E30" s="1">
        <v>8.7101865481060996E-5</v>
      </c>
      <c r="F30">
        <v>2.9879593597708899E-2</v>
      </c>
      <c r="G30" s="1">
        <v>8.6284137744803305E-5</v>
      </c>
      <c r="H30" s="19">
        <f t="shared" si="4"/>
        <v>0.79545758961655577</v>
      </c>
      <c r="I30">
        <f t="shared" si="6"/>
        <v>2.9459831002593344E-3</v>
      </c>
      <c r="J30" s="2"/>
      <c r="L30">
        <v>3.8388966155989197E-2</v>
      </c>
      <c r="M30" s="1">
        <v>7.9638315518280094E-5</v>
      </c>
      <c r="N30">
        <v>3.3439756797986601E-2</v>
      </c>
      <c r="O30" s="1">
        <v>9.2508457557128094E-5</v>
      </c>
      <c r="P30" s="19">
        <f t="shared" si="5"/>
        <v>0.87107729502555376</v>
      </c>
      <c r="Q30">
        <f t="shared" si="7"/>
        <v>3.0120489033709811E-3</v>
      </c>
    </row>
    <row r="31" spans="1:17" x14ac:dyDescent="0.3">
      <c r="A31">
        <v>250</v>
      </c>
      <c r="B31" s="3"/>
      <c r="D31">
        <v>5.5951441895259801E-2</v>
      </c>
      <c r="E31">
        <v>1.22026544952069E-4</v>
      </c>
      <c r="F31">
        <v>4.72133832852187E-2</v>
      </c>
      <c r="G31">
        <v>1.02719911855704E-4</v>
      </c>
      <c r="H31" s="19">
        <f t="shared" si="4"/>
        <v>0.84382782080221264</v>
      </c>
      <c r="I31">
        <f t="shared" si="6"/>
        <v>2.5994756291734564E-3</v>
      </c>
      <c r="J31" s="2"/>
      <c r="L31">
        <v>5.92508857062954E-2</v>
      </c>
      <c r="M31" s="1">
        <v>8.1216551004011802E-5</v>
      </c>
      <c r="N31">
        <v>5.31845879286095E-2</v>
      </c>
      <c r="O31">
        <v>1.27660413881626E-4</v>
      </c>
      <c r="P31" s="19">
        <f t="shared" si="5"/>
        <v>0.89761675786997808</v>
      </c>
      <c r="Q31">
        <f t="shared" si="7"/>
        <v>2.4811355128425004E-3</v>
      </c>
    </row>
    <row r="32" spans="1:17" x14ac:dyDescent="0.3">
      <c r="A32">
        <v>500</v>
      </c>
      <c r="B32" s="3"/>
      <c r="D32">
        <v>9.4555187534606303E-2</v>
      </c>
      <c r="E32">
        <v>2.0538142419059999E-4</v>
      </c>
      <c r="F32">
        <v>8.5541163711055898E-2</v>
      </c>
      <c r="G32">
        <v>1.76730090656541E-4</v>
      </c>
      <c r="H32" s="19">
        <f t="shared" si="4"/>
        <v>0.90466917724369844</v>
      </c>
      <c r="I32">
        <f t="shared" si="6"/>
        <v>2.7119540652458946E-3</v>
      </c>
      <c r="J32" s="2"/>
      <c r="L32">
        <v>0.102657381127848</v>
      </c>
      <c r="M32">
        <v>1.7911241504214699E-4</v>
      </c>
      <c r="N32">
        <v>9.6047540913006504E-2</v>
      </c>
      <c r="O32">
        <v>1.98888364809949E-4</v>
      </c>
      <c r="P32" s="19">
        <f t="shared" si="5"/>
        <v>0.93561261604161028</v>
      </c>
      <c r="Q32">
        <f t="shared" si="7"/>
        <v>2.5334379936179344E-3</v>
      </c>
    </row>
    <row r="33" spans="1:17" x14ac:dyDescent="0.3">
      <c r="A33">
        <v>750</v>
      </c>
      <c r="B33" s="3"/>
      <c r="D33">
        <v>0.12642175357316501</v>
      </c>
      <c r="E33">
        <v>1.90477545095321E-4</v>
      </c>
      <c r="F33">
        <v>0.11811105475446</v>
      </c>
      <c r="G33">
        <v>2.1338189128953199E-4</v>
      </c>
      <c r="H33" s="19">
        <f t="shared" si="4"/>
        <v>0.93426211404435788</v>
      </c>
      <c r="I33">
        <f t="shared" si="6"/>
        <v>2.1977954537779378E-3</v>
      </c>
      <c r="J33" s="2"/>
      <c r="L33">
        <v>0.13878044422879701</v>
      </c>
      <c r="M33">
        <v>2.6306120381277501E-4</v>
      </c>
      <c r="N33">
        <v>0.13176179016360301</v>
      </c>
      <c r="O33">
        <v>1.9611456455849799E-4</v>
      </c>
      <c r="P33" s="19">
        <f t="shared" si="5"/>
        <v>0.94942620263109356</v>
      </c>
      <c r="Q33">
        <f t="shared" si="7"/>
        <v>2.2881645006526826E-3</v>
      </c>
    </row>
    <row r="34" spans="1:17" x14ac:dyDescent="0.3">
      <c r="A34">
        <v>999.99</v>
      </c>
      <c r="B34" s="3"/>
      <c r="D34">
        <v>0.155598782023254</v>
      </c>
      <c r="E34">
        <v>2.5210481083492401E-4</v>
      </c>
      <c r="F34">
        <v>0.14698039737697199</v>
      </c>
      <c r="G34">
        <v>2.5258738046347602E-4</v>
      </c>
      <c r="H34" s="19">
        <f t="shared" si="4"/>
        <v>0.94461149030720559</v>
      </c>
      <c r="I34">
        <f>H34*((E34/D34)^2 +(G34/F34)^2)^0.5</f>
        <v>2.2310442130252868E-3</v>
      </c>
      <c r="J34" s="2"/>
      <c r="L34">
        <v>0.170245597165261</v>
      </c>
      <c r="M34">
        <v>2.4604975183776102E-4</v>
      </c>
      <c r="N34">
        <v>0.162634818769124</v>
      </c>
      <c r="O34">
        <v>2.6397948509944901E-4</v>
      </c>
      <c r="P34" s="19">
        <f t="shared" si="5"/>
        <v>0.95529529971486393</v>
      </c>
      <c r="Q34">
        <f>P34*((M34/L34)^2 +(O34/N34)^2)^0.5</f>
        <v>2.0761752123647477E-3</v>
      </c>
    </row>
    <row r="36" spans="1:17" x14ac:dyDescent="0.3">
      <c r="C36" s="8" t="s">
        <v>12</v>
      </c>
      <c r="D36" s="8"/>
      <c r="E36" s="8"/>
      <c r="F36" s="9"/>
      <c r="G36" s="9"/>
      <c r="H36" s="9"/>
      <c r="I36" s="9"/>
      <c r="K36" s="1"/>
      <c r="L36" s="1"/>
      <c r="M36" s="1"/>
      <c r="N36" s="1"/>
    </row>
    <row r="37" spans="1:17" x14ac:dyDescent="0.3">
      <c r="C37" s="12" t="s">
        <v>4</v>
      </c>
      <c r="D37" s="12"/>
      <c r="E37" s="12"/>
      <c r="F37" s="13"/>
      <c r="G37" s="13"/>
      <c r="H37" s="13"/>
      <c r="I37" s="12"/>
      <c r="K37" s="15" t="s">
        <v>3</v>
      </c>
      <c r="L37" s="15"/>
      <c r="M37" s="16"/>
      <c r="N37" s="16"/>
      <c r="O37" s="15"/>
      <c r="P37" s="15"/>
      <c r="Q37" s="15"/>
    </row>
    <row r="38" spans="1:17" x14ac:dyDescent="0.3">
      <c r="A38" s="4" t="s">
        <v>0</v>
      </c>
      <c r="B38" s="4"/>
      <c r="C38" s="13" t="s">
        <v>1</v>
      </c>
      <c r="D38" s="13" t="s">
        <v>7</v>
      </c>
      <c r="E38" s="13" t="s">
        <v>8</v>
      </c>
      <c r="F38" s="13" t="s">
        <v>9</v>
      </c>
      <c r="G38" s="13" t="s">
        <v>10</v>
      </c>
      <c r="H38" s="14" t="s">
        <v>6</v>
      </c>
      <c r="I38" s="14" t="s">
        <v>11</v>
      </c>
      <c r="J38" s="5"/>
      <c r="K38" s="16" t="s">
        <v>1</v>
      </c>
      <c r="L38" s="16" t="s">
        <v>7</v>
      </c>
      <c r="M38" s="16" t="s">
        <v>8</v>
      </c>
      <c r="N38" s="16" t="s">
        <v>9</v>
      </c>
      <c r="O38" s="16" t="s">
        <v>10</v>
      </c>
      <c r="P38" s="17" t="s">
        <v>6</v>
      </c>
      <c r="Q38" s="17" t="s">
        <v>11</v>
      </c>
    </row>
    <row r="39" spans="1:17" x14ac:dyDescent="0.3">
      <c r="A39">
        <v>0.1</v>
      </c>
      <c r="B39" s="3"/>
      <c r="C39" s="1"/>
      <c r="D39" s="1">
        <v>3.2099701190028201E-6</v>
      </c>
      <c r="E39" s="1">
        <v>3.5131059351727902E-10</v>
      </c>
      <c r="F39" s="1">
        <v>3.17759079120563E-6</v>
      </c>
      <c r="G39" s="1">
        <v>7.4892039905947602E-9</v>
      </c>
      <c r="H39" s="19">
        <f t="shared" ref="H39:H51" si="8">F39/D39</f>
        <v>0.98991288809652567</v>
      </c>
      <c r="I39">
        <f>H39*((E39/D39)^2 +(G39/F39)^2)^0.5</f>
        <v>2.3356211349544811E-3</v>
      </c>
      <c r="J39" s="2"/>
      <c r="K39" s="1"/>
      <c r="L39" s="1">
        <v>9.0972584130535695E-7</v>
      </c>
      <c r="M39" s="1">
        <v>9.7452881785433401E-11</v>
      </c>
      <c r="N39" s="1">
        <v>8.9914371527988803E-7</v>
      </c>
      <c r="O39" s="1">
        <v>2.24423174811288E-9</v>
      </c>
      <c r="P39" s="6">
        <f t="shared" ref="P39:P51" si="9">N39/L39</f>
        <v>0.98836778560639249</v>
      </c>
      <c r="Q39">
        <f>P39*((M39/L39)^2 +(O39/N39)^2)^0.5</f>
        <v>2.4692029617883636E-3</v>
      </c>
    </row>
    <row r="40" spans="1:17" x14ac:dyDescent="0.3">
      <c r="A40">
        <v>0.5</v>
      </c>
      <c r="B40" s="3"/>
      <c r="D40" s="1">
        <v>1.6134855890052599E-5</v>
      </c>
      <c r="E40" s="1">
        <v>1.4663512326686101E-9</v>
      </c>
      <c r="F40" s="1">
        <v>1.5981198165598299E-5</v>
      </c>
      <c r="G40" s="1">
        <v>1.4864419278170099E-8</v>
      </c>
      <c r="H40" s="19">
        <f t="shared" si="8"/>
        <v>0.99047665963046916</v>
      </c>
      <c r="I40">
        <f t="shared" ref="I40:I50" si="10">H40*((E40/D40)^2 +(G40/F40)^2)^0.5</f>
        <v>9.2564857174139148E-4</v>
      </c>
      <c r="J40" s="2"/>
      <c r="L40" s="1">
        <v>4.5736608105268603E-6</v>
      </c>
      <c r="M40" s="1">
        <v>4.4439460683920398E-10</v>
      </c>
      <c r="N40" s="1">
        <v>4.5248201671970701E-6</v>
      </c>
      <c r="O40" s="1">
        <v>4.3753358266758202E-9</v>
      </c>
      <c r="P40" s="6">
        <f t="shared" si="9"/>
        <v>0.98932132369383907</v>
      </c>
      <c r="Q40">
        <f t="shared" ref="Q40:Q50" si="11">P40*((M40/L40)^2 +(O40/N40)^2)^0.5</f>
        <v>9.6145500722271619E-4</v>
      </c>
    </row>
    <row r="41" spans="1:17" x14ac:dyDescent="0.3">
      <c r="A41">
        <v>1</v>
      </c>
      <c r="B41" s="3"/>
      <c r="D41" s="1">
        <v>3.2313738532959303E-5</v>
      </c>
      <c r="E41" s="1">
        <v>3.1962942854569601E-9</v>
      </c>
      <c r="F41" s="1">
        <v>3.2065564782420801E-5</v>
      </c>
      <c r="G41" s="1">
        <v>2.3626963147609399E-8</v>
      </c>
      <c r="H41" s="19">
        <f t="shared" si="8"/>
        <v>0.99231986882961964</v>
      </c>
      <c r="I41">
        <f t="shared" si="10"/>
        <v>7.3773278699735829E-4</v>
      </c>
      <c r="J41" s="2"/>
      <c r="L41" s="1">
        <v>9.1603462828245198E-6</v>
      </c>
      <c r="M41" s="1">
        <v>9.3941163470923E-10</v>
      </c>
      <c r="N41" s="1">
        <v>9.0779232505914901E-6</v>
      </c>
      <c r="O41" s="1">
        <v>6.6276429568322101E-9</v>
      </c>
      <c r="P41" s="6">
        <f t="shared" si="9"/>
        <v>0.9910021925276371</v>
      </c>
      <c r="Q41">
        <f t="shared" si="11"/>
        <v>7.3061732078473008E-4</v>
      </c>
    </row>
    <row r="42" spans="1:17" x14ac:dyDescent="0.3">
      <c r="A42">
        <v>10</v>
      </c>
      <c r="B42" s="3"/>
      <c r="D42">
        <v>3.2313466424565402E-4</v>
      </c>
      <c r="E42" s="1">
        <v>1.07210572664496E-7</v>
      </c>
      <c r="F42">
        <v>3.2203551019660299E-4</v>
      </c>
      <c r="G42" s="1">
        <v>2.0328657361107299E-7</v>
      </c>
      <c r="H42" s="19">
        <f t="shared" si="8"/>
        <v>0.9965984644463417</v>
      </c>
      <c r="I42">
        <f t="shared" si="10"/>
        <v>7.1071026643292393E-4</v>
      </c>
      <c r="J42" s="2"/>
      <c r="L42" s="1">
        <v>9.1589301211133205E-5</v>
      </c>
      <c r="M42" s="1">
        <v>3.0347199669865102E-8</v>
      </c>
      <c r="N42" s="1">
        <v>9.1214157329342301E-5</v>
      </c>
      <c r="O42" s="1">
        <v>6.40943486895766E-8</v>
      </c>
      <c r="P42" s="6">
        <f t="shared" si="9"/>
        <v>0.99590406437400247</v>
      </c>
      <c r="Q42">
        <f t="shared" si="11"/>
        <v>7.736996230761808E-4</v>
      </c>
    </row>
    <row r="43" spans="1:17" x14ac:dyDescent="0.3">
      <c r="A43">
        <v>25</v>
      </c>
      <c r="B43" s="3"/>
      <c r="D43">
        <v>8.0491667998632097E-4</v>
      </c>
      <c r="E43" s="1">
        <v>9.736275950164889E-7</v>
      </c>
      <c r="F43">
        <v>8.03016350656239E-4</v>
      </c>
      <c r="G43" s="1">
        <v>1.71923510353115E-6</v>
      </c>
      <c r="H43" s="19">
        <f t="shared" si="8"/>
        <v>0.99763909808638296</v>
      </c>
      <c r="I43">
        <f t="shared" si="10"/>
        <v>2.4532373787551002E-3</v>
      </c>
      <c r="J43" s="2"/>
      <c r="L43">
        <v>2.2814984705325501E-4</v>
      </c>
      <c r="M43" s="1">
        <v>3.1680978680584301E-7</v>
      </c>
      <c r="N43">
        <v>2.2747099914478301E-4</v>
      </c>
      <c r="O43" s="1">
        <v>5.1766354897946596E-7</v>
      </c>
      <c r="P43" s="6">
        <f t="shared" si="9"/>
        <v>0.99702455242797716</v>
      </c>
      <c r="Q43">
        <f t="shared" si="11"/>
        <v>2.657998552514734E-3</v>
      </c>
    </row>
    <row r="44" spans="1:17" x14ac:dyDescent="0.3">
      <c r="A44">
        <v>50</v>
      </c>
      <c r="B44" s="3"/>
      <c r="D44">
        <v>1.6028552618401299E-3</v>
      </c>
      <c r="E44" s="1">
        <v>1.94658668768657E-6</v>
      </c>
      <c r="F44">
        <v>1.5995099007293299E-3</v>
      </c>
      <c r="G44" s="1">
        <v>2.61096709145502E-6</v>
      </c>
      <c r="H44" s="19">
        <f t="shared" si="8"/>
        <v>0.99791287386300909</v>
      </c>
      <c r="I44">
        <f t="shared" si="10"/>
        <v>2.0303219773658665E-3</v>
      </c>
      <c r="J44" s="2"/>
      <c r="L44">
        <v>4.53914678418702E-4</v>
      </c>
      <c r="M44" s="1">
        <v>6.4832174109510199E-7</v>
      </c>
      <c r="N44">
        <v>4.515470476236E-4</v>
      </c>
      <c r="O44" s="1">
        <v>8.0551677883601002E-7</v>
      </c>
      <c r="P44" s="6">
        <f t="shared" si="9"/>
        <v>0.99478397393239171</v>
      </c>
      <c r="Q44">
        <f t="shared" si="11"/>
        <v>2.2733212468731513E-3</v>
      </c>
    </row>
    <row r="45" spans="1:17" x14ac:dyDescent="0.3">
      <c r="A45">
        <v>75</v>
      </c>
      <c r="B45" s="3"/>
      <c r="D45">
        <v>2.3922480224080099E-3</v>
      </c>
      <c r="E45" s="1">
        <v>2.30362531217378E-6</v>
      </c>
      <c r="F45">
        <v>2.3832071578495199E-3</v>
      </c>
      <c r="G45" s="1">
        <v>2.9328311472635502E-6</v>
      </c>
      <c r="H45" s="19">
        <f t="shared" si="8"/>
        <v>0.99622076621077549</v>
      </c>
      <c r="I45">
        <f t="shared" si="10"/>
        <v>1.5566935117403559E-3</v>
      </c>
      <c r="J45" s="2"/>
      <c r="L45">
        <v>6.7626891461544203E-4</v>
      </c>
      <c r="M45" s="1">
        <v>7.9860980174835503E-7</v>
      </c>
      <c r="N45">
        <v>6.7325507529300901E-4</v>
      </c>
      <c r="O45" s="1">
        <v>9.3889317052476902E-7</v>
      </c>
      <c r="P45" s="6">
        <f t="shared" si="9"/>
        <v>0.99554343064231066</v>
      </c>
      <c r="Q45">
        <f t="shared" si="11"/>
        <v>1.8192394881123154E-3</v>
      </c>
    </row>
    <row r="46" spans="1:17" x14ac:dyDescent="0.3">
      <c r="A46">
        <v>100</v>
      </c>
      <c r="B46" s="3"/>
      <c r="D46">
        <v>3.1688203926765E-3</v>
      </c>
      <c r="E46" s="1">
        <v>3.8700195546849801E-6</v>
      </c>
      <c r="F46">
        <v>3.1541405310738201E-3</v>
      </c>
      <c r="G46" s="1">
        <v>5.7204379219245103E-6</v>
      </c>
      <c r="H46" s="19">
        <f t="shared" si="8"/>
        <v>0.99536740496980936</v>
      </c>
      <c r="I46">
        <f t="shared" si="10"/>
        <v>2.1763688947192732E-3</v>
      </c>
      <c r="J46" s="2"/>
      <c r="L46">
        <v>8.9635371842954504E-4</v>
      </c>
      <c r="M46" s="1">
        <v>1.0741074178410501E-6</v>
      </c>
      <c r="N46">
        <v>8.9292512144540401E-4</v>
      </c>
      <c r="O46" s="1">
        <v>1.5443417647520601E-6</v>
      </c>
      <c r="P46" s="6">
        <f t="shared" si="9"/>
        <v>0.99617495089979868</v>
      </c>
      <c r="Q46">
        <f t="shared" si="11"/>
        <v>2.09604744411438E-3</v>
      </c>
    </row>
    <row r="47" spans="1:17" x14ac:dyDescent="0.3">
      <c r="A47">
        <v>150</v>
      </c>
      <c r="B47" s="3"/>
      <c r="D47">
        <v>4.7002672379747703E-3</v>
      </c>
      <c r="E47" s="1">
        <v>5.5830943137030297E-6</v>
      </c>
      <c r="F47">
        <v>4.6888544824096002E-3</v>
      </c>
      <c r="G47" s="1">
        <v>6.9665355992869402E-6</v>
      </c>
      <c r="H47" s="19">
        <f t="shared" si="8"/>
        <v>0.99757189219520048</v>
      </c>
      <c r="I47">
        <f t="shared" si="10"/>
        <v>1.8975971265847125E-3</v>
      </c>
      <c r="J47" s="2"/>
      <c r="L47">
        <v>1.32567671857899E-3</v>
      </c>
      <c r="M47" s="1">
        <v>1.5318368895278E-6</v>
      </c>
      <c r="N47">
        <v>1.3245956550701E-3</v>
      </c>
      <c r="O47" s="1">
        <v>2.0064771481250101E-6</v>
      </c>
      <c r="P47" s="6">
        <f t="shared" si="9"/>
        <v>0.99918451950333054</v>
      </c>
      <c r="Q47">
        <f t="shared" si="11"/>
        <v>1.9036453265773162E-3</v>
      </c>
    </row>
    <row r="48" spans="1:17" x14ac:dyDescent="0.3">
      <c r="A48">
        <v>250</v>
      </c>
      <c r="B48" s="3"/>
      <c r="D48">
        <v>7.6621384469752396E-3</v>
      </c>
      <c r="E48" s="1">
        <v>8.9439539283184293E-6</v>
      </c>
      <c r="F48">
        <v>7.6581425799841299E-3</v>
      </c>
      <c r="G48" s="1">
        <v>9.5373623923301102E-6</v>
      </c>
      <c r="H48" s="19">
        <f t="shared" si="8"/>
        <v>0.99947849193553961</v>
      </c>
      <c r="I48">
        <f t="shared" si="10"/>
        <v>1.7060261538065647E-3</v>
      </c>
      <c r="J48" s="2"/>
      <c r="L48">
        <v>2.1556137545463202E-3</v>
      </c>
      <c r="M48" s="1">
        <v>2.8917617520134201E-6</v>
      </c>
      <c r="N48">
        <v>2.1557775197990998E-3</v>
      </c>
      <c r="O48" s="1">
        <v>3.4267184077591398E-6</v>
      </c>
      <c r="P48" s="6">
        <f t="shared" si="9"/>
        <v>1.0000759715196816</v>
      </c>
      <c r="Q48">
        <f t="shared" si="11"/>
        <v>2.08013448905876E-3</v>
      </c>
    </row>
    <row r="49" spans="1:17" x14ac:dyDescent="0.3">
      <c r="A49">
        <v>500</v>
      </c>
      <c r="B49" s="3"/>
      <c r="D49">
        <v>1.4528827469945001E-2</v>
      </c>
      <c r="E49" s="1">
        <v>1.9512128215526801E-5</v>
      </c>
      <c r="F49">
        <v>1.4510294900252E-2</v>
      </c>
      <c r="G49" s="1">
        <v>1.7632674389988701E-5</v>
      </c>
      <c r="H49" s="19">
        <f t="shared" si="8"/>
        <v>0.99872442771232994</v>
      </c>
      <c r="I49">
        <f t="shared" si="10"/>
        <v>1.808850802137127E-3</v>
      </c>
      <c r="J49" s="2"/>
      <c r="L49">
        <v>4.0692513404583797E-3</v>
      </c>
      <c r="M49" s="1">
        <v>5.5675919373717998E-6</v>
      </c>
      <c r="N49">
        <v>4.0569357875227304E-3</v>
      </c>
      <c r="O49" s="1">
        <v>5.2496418363288303E-6</v>
      </c>
      <c r="P49" s="6">
        <f t="shared" si="9"/>
        <v>0.99697350890735048</v>
      </c>
      <c r="Q49">
        <f t="shared" si="11"/>
        <v>1.8774931839575925E-3</v>
      </c>
    </row>
    <row r="50" spans="1:17" x14ac:dyDescent="0.3">
      <c r="A50">
        <v>750</v>
      </c>
      <c r="B50" s="3"/>
      <c r="D50">
        <v>2.0701772563261001E-2</v>
      </c>
      <c r="E50" s="1">
        <v>1.94778367259042E-5</v>
      </c>
      <c r="F50">
        <v>2.0670832742657502E-2</v>
      </c>
      <c r="G50" s="1">
        <v>2.4165486313225001E-5</v>
      </c>
      <c r="H50" s="19">
        <f t="shared" si="8"/>
        <v>0.99850545065602703</v>
      </c>
      <c r="I50">
        <f t="shared" si="10"/>
        <v>1.498409392449824E-3</v>
      </c>
      <c r="J50" s="2"/>
      <c r="L50">
        <v>5.7649672577643396E-3</v>
      </c>
      <c r="M50" s="1">
        <v>6.73190263055258E-6</v>
      </c>
      <c r="N50">
        <v>5.7622824448929303E-3</v>
      </c>
      <c r="O50" s="1">
        <v>7.5386609948647098E-6</v>
      </c>
      <c r="P50" s="6">
        <f t="shared" si="9"/>
        <v>0.99953428827062407</v>
      </c>
      <c r="Q50">
        <f t="shared" si="11"/>
        <v>1.7528003368185298E-3</v>
      </c>
    </row>
    <row r="51" spans="1:17" x14ac:dyDescent="0.3">
      <c r="A51">
        <v>999.99</v>
      </c>
      <c r="B51" s="3"/>
      <c r="D51">
        <v>2.6254111956257101E-2</v>
      </c>
      <c r="E51" s="1">
        <v>3.1518519557492703E-5</v>
      </c>
      <c r="F51">
        <v>2.6241236871756501E-2</v>
      </c>
      <c r="G51" s="1">
        <v>3.3019156397098597E-5</v>
      </c>
      <c r="H51" s="19">
        <f t="shared" si="8"/>
        <v>0.9995095974100342</v>
      </c>
      <c r="I51">
        <f>H51*((E51/D51)^2 +(G51/F51)^2)^0.5</f>
        <v>1.7382683540267973E-3</v>
      </c>
      <c r="J51" s="2"/>
      <c r="L51">
        <v>7.3065547855977898E-3</v>
      </c>
      <c r="M51" s="1">
        <v>7.6217629536129497E-6</v>
      </c>
      <c r="N51">
        <v>7.2989569527415503E-3</v>
      </c>
      <c r="O51" s="1">
        <v>8.3743748627356196E-6</v>
      </c>
      <c r="P51" s="6">
        <f t="shared" si="9"/>
        <v>0.99896013469012568</v>
      </c>
      <c r="Q51">
        <f>P51*((M51/L51)^2 +(O51/N51)^2)^0.5</f>
        <v>1.5490415302505404E-3</v>
      </c>
    </row>
    <row r="54" spans="1:17" s="21" customFormat="1" x14ac:dyDescent="0.3">
      <c r="C54" s="20" t="s">
        <v>13</v>
      </c>
    </row>
    <row r="55" spans="1:17" x14ac:dyDescent="0.3">
      <c r="C55" s="10" t="s">
        <v>2</v>
      </c>
      <c r="D55" s="10"/>
      <c r="E55" s="10"/>
      <c r="F55" s="11"/>
      <c r="G55" s="11"/>
      <c r="H55" s="11"/>
      <c r="K55" s="1"/>
      <c r="L55" s="1"/>
      <c r="M55" s="1"/>
      <c r="N55" s="1"/>
    </row>
    <row r="56" spans="1:17" x14ac:dyDescent="0.3">
      <c r="C56" s="12" t="s">
        <v>4</v>
      </c>
      <c r="D56" s="12"/>
      <c r="E56" s="12"/>
      <c r="F56" s="13"/>
      <c r="G56" s="13"/>
      <c r="H56" s="13"/>
      <c r="I56" s="12"/>
      <c r="K56" s="15" t="s">
        <v>3</v>
      </c>
      <c r="L56" s="15"/>
      <c r="M56" s="16"/>
      <c r="N56" s="16"/>
      <c r="O56" s="15"/>
      <c r="P56" s="15"/>
      <c r="Q56" s="15"/>
    </row>
    <row r="57" spans="1:17" x14ac:dyDescent="0.3">
      <c r="A57" s="4" t="s">
        <v>0</v>
      </c>
      <c r="B57" s="4"/>
      <c r="C57" s="13" t="s">
        <v>1</v>
      </c>
      <c r="D57" s="13" t="s">
        <v>7</v>
      </c>
      <c r="E57" s="13" t="s">
        <v>8</v>
      </c>
      <c r="F57" s="13" t="s">
        <v>9</v>
      </c>
      <c r="G57" s="13" t="s">
        <v>10</v>
      </c>
      <c r="H57" s="14" t="s">
        <v>6</v>
      </c>
      <c r="I57" s="14" t="s">
        <v>11</v>
      </c>
      <c r="J57" s="5"/>
      <c r="K57" s="16" t="s">
        <v>1</v>
      </c>
      <c r="L57" s="16" t="s">
        <v>7</v>
      </c>
      <c r="M57" s="16" t="s">
        <v>8</v>
      </c>
      <c r="N57" s="16" t="s">
        <v>9</v>
      </c>
      <c r="O57" s="16" t="s">
        <v>10</v>
      </c>
      <c r="P57" s="17" t="s">
        <v>6</v>
      </c>
      <c r="Q57" s="17" t="s">
        <v>11</v>
      </c>
    </row>
    <row r="58" spans="1:17" x14ac:dyDescent="0.3">
      <c r="A58">
        <v>0.1</v>
      </c>
      <c r="B58" s="3"/>
      <c r="D58">
        <v>1.35349035541185</v>
      </c>
      <c r="E58" s="1">
        <v>9.6553174997388497E-5</v>
      </c>
      <c r="F58">
        <v>1.3534015288379</v>
      </c>
      <c r="G58" s="1">
        <v>9.3759020527858203E-5</v>
      </c>
      <c r="H58" s="6">
        <f t="shared" ref="H58:H70" si="12">F58/D58</f>
        <v>0.99993437221506987</v>
      </c>
      <c r="I58">
        <f>H58*((E58/D58)^2 +(G58/F58)^2)^0.5</f>
        <v>9.9432552933769036E-5</v>
      </c>
      <c r="J58" s="2"/>
      <c r="L58">
        <v>1.3534796781066101</v>
      </c>
      <c r="M58" s="1">
        <v>9.4365811729444995E-5</v>
      </c>
      <c r="N58">
        <v>1.3533874250728799</v>
      </c>
      <c r="O58" s="1">
        <v>9.25744561728887E-5</v>
      </c>
      <c r="P58" s="6">
        <f t="shared" ref="P58:P70" si="13">N58/L58</f>
        <v>0.99993184010427161</v>
      </c>
      <c r="Q58">
        <f>P58*((M58/L58)^2 +(O58/N58)^2)^0.5</f>
        <v>9.766545498253321E-5</v>
      </c>
    </row>
    <row r="59" spans="1:17" x14ac:dyDescent="0.3">
      <c r="A59">
        <v>0.5</v>
      </c>
      <c r="B59" s="3"/>
      <c r="D59">
        <v>1.3525055888533599</v>
      </c>
      <c r="E59">
        <v>1.3350945350493499E-4</v>
      </c>
      <c r="F59">
        <v>1.3523631081874801</v>
      </c>
      <c r="G59">
        <v>1.04497562087403E-4</v>
      </c>
      <c r="H59" s="6">
        <f t="shared" si="12"/>
        <v>0.99989465428678881</v>
      </c>
      <c r="I59">
        <f t="shared" ref="I59:I69" si="14">H59*((E59/D59)^2 +(G59/F59)^2)^0.5</f>
        <v>1.2534587622454844E-4</v>
      </c>
      <c r="J59" s="2"/>
      <c r="K59" s="2"/>
      <c r="L59">
        <v>1.3523816661130299</v>
      </c>
      <c r="M59">
        <v>1.49314446515367E-4</v>
      </c>
      <c r="N59">
        <v>1.3522755659704</v>
      </c>
      <c r="O59">
        <v>1.0988210288705301E-4</v>
      </c>
      <c r="P59" s="7">
        <f t="shared" si="13"/>
        <v>0.99992154571058711</v>
      </c>
      <c r="Q59">
        <f t="shared" ref="Q59:Q69" si="15">P59*((M59/L59)^2 +(O59/N59)^2)^0.5</f>
        <v>1.3707596618126611E-4</v>
      </c>
    </row>
    <row r="60" spans="1:17" x14ac:dyDescent="0.3">
      <c r="A60">
        <v>1</v>
      </c>
      <c r="B60" s="3"/>
      <c r="D60">
        <v>1.35196691014248</v>
      </c>
      <c r="E60">
        <v>1.06286820978399E-4</v>
      </c>
      <c r="F60">
        <v>1.3521181483175599</v>
      </c>
      <c r="G60">
        <v>1.5169758245579099E-4</v>
      </c>
      <c r="H60" s="6">
        <f t="shared" si="12"/>
        <v>1.0001118652934071</v>
      </c>
      <c r="I60">
        <f t="shared" si="14"/>
        <v>1.3701062533005715E-4</v>
      </c>
      <c r="J60" s="2"/>
      <c r="L60">
        <v>1.3518170844189801</v>
      </c>
      <c r="M60">
        <v>1.14380157051306E-4</v>
      </c>
      <c r="N60">
        <v>1.3519913617870101</v>
      </c>
      <c r="O60">
        <v>1.48348598450422E-4</v>
      </c>
      <c r="P60" s="6">
        <f t="shared" si="13"/>
        <v>1.000128920820752</v>
      </c>
      <c r="Q60">
        <f t="shared" si="15"/>
        <v>1.385783590344851E-4</v>
      </c>
    </row>
    <row r="61" spans="1:17" x14ac:dyDescent="0.3">
      <c r="A61">
        <v>10</v>
      </c>
      <c r="B61" s="3"/>
      <c r="D61">
        <v>1.3496449964439701</v>
      </c>
      <c r="E61">
        <v>3.34573859265803E-4</v>
      </c>
      <c r="F61">
        <v>1.3505251730884</v>
      </c>
      <c r="G61">
        <v>3.1320147404522098E-4</v>
      </c>
      <c r="H61" s="6">
        <f t="shared" si="12"/>
        <v>1.0006521541936946</v>
      </c>
      <c r="I61">
        <f t="shared" si="14"/>
        <v>3.3968553714387918E-4</v>
      </c>
      <c r="J61" s="2"/>
      <c r="K61" s="2"/>
      <c r="L61">
        <v>1.3484991014567</v>
      </c>
      <c r="M61">
        <v>3.7805904699346899E-4</v>
      </c>
      <c r="N61">
        <v>1.3494716016903701</v>
      </c>
      <c r="O61">
        <v>2.8869581860669599E-4</v>
      </c>
      <c r="P61" s="7">
        <f t="shared" si="13"/>
        <v>1.0007211723260472</v>
      </c>
      <c r="Q61">
        <f t="shared" si="15"/>
        <v>3.5291035880064285E-4</v>
      </c>
    </row>
    <row r="62" spans="1:17" x14ac:dyDescent="0.3">
      <c r="A62">
        <v>25</v>
      </c>
      <c r="B62" s="3"/>
      <c r="D62">
        <v>1.34878568413012</v>
      </c>
      <c r="E62">
        <v>1.09258372127255E-3</v>
      </c>
      <c r="F62">
        <v>1.3499391844892901</v>
      </c>
      <c r="G62">
        <v>1.3707183810184799E-3</v>
      </c>
      <c r="H62" s="6">
        <f t="shared" si="12"/>
        <v>1.0008552139696782</v>
      </c>
      <c r="I62">
        <f t="shared" si="14"/>
        <v>1.300034709477677E-3</v>
      </c>
      <c r="J62" s="2"/>
      <c r="L62">
        <v>1.34496639056255</v>
      </c>
      <c r="M62">
        <v>1.6184768350052301E-3</v>
      </c>
      <c r="N62">
        <v>1.3463148595955401</v>
      </c>
      <c r="O62">
        <v>1.2267224814702E-3</v>
      </c>
      <c r="P62" s="6">
        <f t="shared" si="13"/>
        <v>1.0010026042601898</v>
      </c>
      <c r="Q62">
        <f t="shared" si="15"/>
        <v>1.5109184058008226E-3</v>
      </c>
    </row>
    <row r="63" spans="1:17" x14ac:dyDescent="0.3">
      <c r="A63">
        <v>50</v>
      </c>
      <c r="B63" s="3"/>
      <c r="D63">
        <v>1.3474610818274699</v>
      </c>
      <c r="E63">
        <v>1.17516294196242E-3</v>
      </c>
      <c r="F63">
        <v>1.3455734465921001</v>
      </c>
      <c r="G63">
        <v>1.2217446853760999E-3</v>
      </c>
      <c r="H63" s="6">
        <f t="shared" si="12"/>
        <v>0.9985991170648062</v>
      </c>
      <c r="I63">
        <f t="shared" si="14"/>
        <v>1.2572154111851082E-3</v>
      </c>
      <c r="J63" s="2"/>
      <c r="K63" s="2"/>
      <c r="L63">
        <v>1.34058997335879</v>
      </c>
      <c r="M63">
        <v>1.0490060790073401E-3</v>
      </c>
      <c r="N63">
        <v>1.3404343940163499</v>
      </c>
      <c r="O63">
        <v>1.4420881112400499E-3</v>
      </c>
      <c r="P63" s="7">
        <f t="shared" si="13"/>
        <v>0.99988394710871187</v>
      </c>
      <c r="Q63">
        <f t="shared" si="15"/>
        <v>1.3301552387791574E-3</v>
      </c>
    </row>
    <row r="64" spans="1:17" x14ac:dyDescent="0.3">
      <c r="A64">
        <v>75</v>
      </c>
      <c r="B64" s="3"/>
      <c r="D64">
        <v>1.3427752965748101</v>
      </c>
      <c r="E64">
        <v>1.07490457255542E-3</v>
      </c>
      <c r="F64">
        <v>1.34298839152317</v>
      </c>
      <c r="G64">
        <v>1.06421993303281E-3</v>
      </c>
      <c r="H64" s="6">
        <f t="shared" si="12"/>
        <v>1.000158697400007</v>
      </c>
      <c r="I64">
        <f t="shared" si="14"/>
        <v>1.126569384497018E-3</v>
      </c>
      <c r="J64" s="2"/>
      <c r="L64">
        <v>1.3360765153922001</v>
      </c>
      <c r="M64">
        <v>1.1632843834853399E-3</v>
      </c>
      <c r="N64">
        <v>1.33446918164207</v>
      </c>
      <c r="O64">
        <v>1.3857869032541199E-3</v>
      </c>
      <c r="P64" s="6">
        <f t="shared" si="13"/>
        <v>0.99879697477531193</v>
      </c>
      <c r="Q64">
        <f t="shared" si="15"/>
        <v>1.353530062079468E-3</v>
      </c>
    </row>
    <row r="65" spans="1:17" x14ac:dyDescent="0.3">
      <c r="A65">
        <v>100</v>
      </c>
      <c r="B65" s="3"/>
      <c r="D65">
        <v>1.34074242473516</v>
      </c>
      <c r="E65">
        <v>1.39655871426836E-3</v>
      </c>
      <c r="F65">
        <v>1.3398671852870001</v>
      </c>
      <c r="G65">
        <v>1.287880398712E-3</v>
      </c>
      <c r="H65" s="6">
        <f t="shared" si="12"/>
        <v>0.99934719791660742</v>
      </c>
      <c r="I65">
        <f t="shared" si="14"/>
        <v>1.416431589537991E-3</v>
      </c>
      <c r="J65" s="2"/>
      <c r="K65" s="2"/>
      <c r="L65">
        <v>1.32701226510564</v>
      </c>
      <c r="M65">
        <v>1.12425566465752E-3</v>
      </c>
      <c r="N65">
        <v>1.3286113876260699</v>
      </c>
      <c r="O65">
        <v>1.3450656516196099E-3</v>
      </c>
      <c r="P65" s="7">
        <f t="shared" si="13"/>
        <v>1.0012050548156031</v>
      </c>
      <c r="Q65">
        <f t="shared" si="15"/>
        <v>1.3216984553462278E-3</v>
      </c>
    </row>
    <row r="66" spans="1:17" x14ac:dyDescent="0.3">
      <c r="A66">
        <v>150</v>
      </c>
      <c r="B66" s="3"/>
      <c r="D66">
        <v>1.33329826157554</v>
      </c>
      <c r="E66">
        <v>1.0127020502582399E-3</v>
      </c>
      <c r="H66" s="6">
        <f t="shared" si="12"/>
        <v>0</v>
      </c>
      <c r="I66" t="e">
        <f t="shared" si="14"/>
        <v>#DIV/0!</v>
      </c>
      <c r="J66" s="2"/>
      <c r="L66">
        <v>1.31712591718725</v>
      </c>
      <c r="M66">
        <v>1.07670919895594E-3</v>
      </c>
      <c r="N66">
        <v>1.31511831282964</v>
      </c>
      <c r="O66">
        <v>1.0460965227932701E-3</v>
      </c>
      <c r="P66" s="6">
        <f t="shared" si="13"/>
        <v>0.99847576884532241</v>
      </c>
      <c r="Q66">
        <f t="shared" si="15"/>
        <v>1.138865863749726E-3</v>
      </c>
    </row>
    <row r="67" spans="1:17" x14ac:dyDescent="0.3">
      <c r="A67">
        <v>250</v>
      </c>
      <c r="B67" s="3"/>
      <c r="D67">
        <v>1.32151573265695</v>
      </c>
      <c r="E67">
        <v>1.3006693362351499E-3</v>
      </c>
      <c r="H67" s="6">
        <f t="shared" si="12"/>
        <v>0</v>
      </c>
      <c r="I67" t="e">
        <f t="shared" si="14"/>
        <v>#DIV/0!</v>
      </c>
      <c r="J67" s="2"/>
      <c r="K67" s="2"/>
      <c r="L67">
        <v>1.2918988571682599</v>
      </c>
      <c r="M67">
        <v>1.1007541264065699E-3</v>
      </c>
      <c r="N67">
        <v>1.29376426805572</v>
      </c>
      <c r="O67">
        <v>1.08946870381198E-3</v>
      </c>
      <c r="P67" s="7">
        <f t="shared" si="13"/>
        <v>1.0014439295128328</v>
      </c>
      <c r="Q67">
        <f t="shared" si="15"/>
        <v>1.1996852761766263E-3</v>
      </c>
    </row>
    <row r="68" spans="1:17" x14ac:dyDescent="0.3">
      <c r="A68">
        <v>500</v>
      </c>
      <c r="B68" s="3"/>
      <c r="D68">
        <v>1.2931453740650001</v>
      </c>
      <c r="E68">
        <v>9.8555966722236005E-4</v>
      </c>
      <c r="H68" s="6">
        <f t="shared" si="12"/>
        <v>0</v>
      </c>
      <c r="I68" t="e">
        <f t="shared" si="14"/>
        <v>#DIV/0!</v>
      </c>
      <c r="J68" s="2"/>
      <c r="L68">
        <v>1.23828567912233</v>
      </c>
      <c r="M68">
        <v>1.26094639154959E-3</v>
      </c>
      <c r="N68">
        <v>1.2373191126010099</v>
      </c>
      <c r="O68">
        <v>1.7104225594344201E-3</v>
      </c>
      <c r="P68" s="6">
        <f t="shared" si="13"/>
        <v>0.99921943172111527</v>
      </c>
      <c r="Q68">
        <f t="shared" si="15"/>
        <v>1.7155928133229267E-3</v>
      </c>
    </row>
    <row r="69" spans="1:17" x14ac:dyDescent="0.3">
      <c r="A69">
        <v>750</v>
      </c>
      <c r="B69" s="3"/>
      <c r="D69">
        <v>1.2595818024588099</v>
      </c>
      <c r="E69">
        <v>1.23221884565407E-3</v>
      </c>
      <c r="H69" s="6">
        <f t="shared" si="12"/>
        <v>0</v>
      </c>
      <c r="I69" t="e">
        <f t="shared" si="14"/>
        <v>#DIV/0!</v>
      </c>
      <c r="J69" s="3"/>
      <c r="L69">
        <v>1.1839603302327899</v>
      </c>
      <c r="M69">
        <v>9.7670331118084107E-4</v>
      </c>
      <c r="N69">
        <v>1.1856998650789701</v>
      </c>
      <c r="O69">
        <v>1.12439487305431E-3</v>
      </c>
      <c r="P69" s="6">
        <f t="shared" si="13"/>
        <v>1.0014692509552563</v>
      </c>
      <c r="Q69">
        <f t="shared" si="15"/>
        <v>1.2587483955646352E-3</v>
      </c>
    </row>
    <row r="70" spans="1:17" x14ac:dyDescent="0.3">
      <c r="A70">
        <v>999.99</v>
      </c>
      <c r="B70" s="3"/>
      <c r="D70">
        <v>1.22576284834815</v>
      </c>
      <c r="E70">
        <v>1.2327349655244699E-3</v>
      </c>
      <c r="H70" s="6">
        <f t="shared" si="12"/>
        <v>0</v>
      </c>
      <c r="I70" t="e">
        <f>H70*((E70/D70)^2 +(G70/F70)^2)^0.5</f>
        <v>#DIV/0!</v>
      </c>
      <c r="J70" s="3"/>
      <c r="L70">
        <v>1.13553758367077</v>
      </c>
      <c r="M70">
        <v>1.1206624657434201E-3</v>
      </c>
      <c r="N70">
        <v>1.13628629783987</v>
      </c>
      <c r="O70">
        <v>1.2732667465119099E-3</v>
      </c>
      <c r="P70" s="7">
        <f t="shared" si="13"/>
        <v>1.0006593477660861</v>
      </c>
      <c r="Q70">
        <f>P70*((M70/L70)^2 +(O70/N70)^2)^0.5</f>
        <v>1.4941713528427928E-3</v>
      </c>
    </row>
    <row r="72" spans="1:17" x14ac:dyDescent="0.3">
      <c r="C72" s="8" t="s">
        <v>5</v>
      </c>
      <c r="D72" s="8"/>
      <c r="E72" s="8"/>
      <c r="F72" s="9"/>
      <c r="G72" s="9"/>
      <c r="H72" s="9"/>
      <c r="I72" s="9"/>
      <c r="K72" s="1"/>
      <c r="L72" s="1"/>
      <c r="M72" s="1"/>
      <c r="N72" s="1"/>
    </row>
    <row r="73" spans="1:17" x14ac:dyDescent="0.3">
      <c r="C73" s="12" t="s">
        <v>4</v>
      </c>
      <c r="D73" s="12"/>
      <c r="E73" s="12"/>
      <c r="F73" s="13"/>
      <c r="G73" s="13"/>
      <c r="H73" s="13"/>
      <c r="I73" s="12"/>
      <c r="K73" s="15" t="s">
        <v>3</v>
      </c>
      <c r="L73" s="15"/>
      <c r="M73" s="16"/>
      <c r="N73" s="16"/>
      <c r="O73" s="15"/>
      <c r="P73" s="15"/>
      <c r="Q73" s="15"/>
    </row>
    <row r="74" spans="1:17" x14ac:dyDescent="0.3">
      <c r="A74" s="4" t="s">
        <v>0</v>
      </c>
      <c r="B74" s="4"/>
      <c r="C74" s="13" t="s">
        <v>1</v>
      </c>
      <c r="D74" s="13" t="s">
        <v>7</v>
      </c>
      <c r="E74" s="13" t="s">
        <v>8</v>
      </c>
      <c r="F74" s="13" t="s">
        <v>9</v>
      </c>
      <c r="G74" s="13" t="s">
        <v>10</v>
      </c>
      <c r="H74" s="14" t="s">
        <v>6</v>
      </c>
      <c r="I74" s="14" t="s">
        <v>11</v>
      </c>
      <c r="J74" s="5"/>
      <c r="K74" s="16" t="s">
        <v>1</v>
      </c>
      <c r="L74" s="16" t="s">
        <v>7</v>
      </c>
      <c r="M74" s="16" t="s">
        <v>8</v>
      </c>
      <c r="N74" s="16" t="s">
        <v>9</v>
      </c>
      <c r="O74" s="16" t="s">
        <v>10</v>
      </c>
      <c r="P74" s="17" t="s">
        <v>6</v>
      </c>
      <c r="Q74" s="17" t="s">
        <v>11</v>
      </c>
    </row>
    <row r="75" spans="1:17" x14ac:dyDescent="0.3">
      <c r="A75">
        <v>0.1</v>
      </c>
      <c r="B75" s="3"/>
      <c r="C75" s="1"/>
      <c r="D75" s="1">
        <v>2.02909902032051E-5</v>
      </c>
      <c r="E75" s="1">
        <v>2.24743175291538E-9</v>
      </c>
      <c r="F75" s="1">
        <v>2.0007152807541001E-5</v>
      </c>
      <c r="G75" s="1">
        <v>3.4711645219164801E-8</v>
      </c>
      <c r="H75" s="6">
        <f t="shared" ref="H75:H87" si="16">F75/D75</f>
        <v>0.98601165380192901</v>
      </c>
      <c r="I75">
        <f>H75*((E75/D75)^2 +(G75/F75)^2)^0.5</f>
        <v>1.7141749885399009E-3</v>
      </c>
      <c r="J75" s="2"/>
      <c r="K75" s="1"/>
      <c r="L75" s="1">
        <v>2.4790666762969901E-5</v>
      </c>
      <c r="M75" s="1">
        <v>2.62930916912575E-9</v>
      </c>
      <c r="N75" s="1">
        <v>2.4528682334896999E-5</v>
      </c>
      <c r="O75" s="1">
        <v>3.5040531796592898E-8</v>
      </c>
      <c r="P75" s="6">
        <f t="shared" ref="P75:P87" si="17">N75/L75</f>
        <v>0.98943213465866797</v>
      </c>
      <c r="Q75">
        <f>P75*((M75/L75)^2 +(O75/N75)^2)^0.5</f>
        <v>1.4173467854162441E-3</v>
      </c>
    </row>
    <row r="76" spans="1:17" x14ac:dyDescent="0.3">
      <c r="A76">
        <v>0.5</v>
      </c>
      <c r="B76" s="3"/>
      <c r="C76" s="1"/>
      <c r="D76">
        <v>1.0137245509615099E-4</v>
      </c>
      <c r="E76" s="1">
        <v>1.77005795225872E-8</v>
      </c>
      <c r="F76" s="1">
        <v>9.9956573245012605E-5</v>
      </c>
      <c r="G76" s="1">
        <v>7.2050260970812403E-8</v>
      </c>
      <c r="H76" s="6">
        <f t="shared" si="16"/>
        <v>0.98603287402090212</v>
      </c>
      <c r="I76">
        <f t="shared" ref="I76:I86" si="18">H76*((E76/D76)^2 +(G76/F76)^2)^0.5</f>
        <v>7.3130383685799619E-4</v>
      </c>
      <c r="J76" s="2"/>
      <c r="L76">
        <v>1.2382934591149999E-4</v>
      </c>
      <c r="M76" s="1">
        <v>1.9712339612085199E-8</v>
      </c>
      <c r="N76">
        <v>1.2253637247031199E-4</v>
      </c>
      <c r="O76" s="1">
        <v>7.3716805324193805E-8</v>
      </c>
      <c r="P76" s="6">
        <f t="shared" si="17"/>
        <v>0.98955842468785971</v>
      </c>
      <c r="Q76">
        <f t="shared" ref="Q76:Q86" si="19">P76*((M76/L76)^2 +(O76/N76)^2)^0.5</f>
        <v>6.1579904211881168E-4</v>
      </c>
    </row>
    <row r="77" spans="1:17" x14ac:dyDescent="0.3">
      <c r="A77">
        <v>1</v>
      </c>
      <c r="B77" s="3"/>
      <c r="C77" s="1"/>
      <c r="D77">
        <v>2.02642741315636E-4</v>
      </c>
      <c r="E77" s="1">
        <v>2.4405638890132701E-8</v>
      </c>
      <c r="F77">
        <v>1.9971899576778099E-4</v>
      </c>
      <c r="G77" s="1">
        <v>1.02609766232894E-7</v>
      </c>
      <c r="H77" s="6">
        <f t="shared" si="16"/>
        <v>0.9855719206675112</v>
      </c>
      <c r="I77">
        <f t="shared" si="18"/>
        <v>5.2008448089518248E-4</v>
      </c>
      <c r="J77" s="2"/>
      <c r="L77">
        <v>2.4754589215855298E-4</v>
      </c>
      <c r="M77" s="1">
        <v>3.1019310600902002E-8</v>
      </c>
      <c r="N77">
        <v>2.4529987110641501E-4</v>
      </c>
      <c r="O77" s="1">
        <v>1.0882622972029E-7</v>
      </c>
      <c r="P77" s="6">
        <f t="shared" si="17"/>
        <v>0.99092684983558765</v>
      </c>
      <c r="Q77">
        <f t="shared" si="19"/>
        <v>4.5681987639143909E-4</v>
      </c>
    </row>
    <row r="78" spans="1:17" x14ac:dyDescent="0.3">
      <c r="A78">
        <v>10</v>
      </c>
      <c r="B78" s="3"/>
      <c r="C78" s="1"/>
      <c r="D78">
        <v>2.0215278732349001E-3</v>
      </c>
      <c r="E78" s="1">
        <v>8.3041477691979302E-7</v>
      </c>
      <c r="F78">
        <v>1.9939142335394298E-3</v>
      </c>
      <c r="G78" s="1">
        <v>9.6453719046818291E-7</v>
      </c>
      <c r="H78" s="6">
        <f t="shared" si="16"/>
        <v>0.98634021323125154</v>
      </c>
      <c r="I78">
        <f t="shared" si="18"/>
        <v>6.2595689243500469E-4</v>
      </c>
      <c r="J78" s="2"/>
      <c r="L78">
        <v>2.4688428331907201E-3</v>
      </c>
      <c r="M78" s="1">
        <v>9.25195380739334E-7</v>
      </c>
      <c r="N78">
        <v>2.4489469789132001E-3</v>
      </c>
      <c r="O78" s="1">
        <v>1.5097897712746E-6</v>
      </c>
      <c r="P78" s="6">
        <f t="shared" si="17"/>
        <v>0.99194122282307995</v>
      </c>
      <c r="Q78">
        <f t="shared" si="19"/>
        <v>7.1565365199815936E-4</v>
      </c>
    </row>
    <row r="79" spans="1:17" x14ac:dyDescent="0.3">
      <c r="A79">
        <v>25</v>
      </c>
      <c r="B79" s="3"/>
      <c r="C79" s="1"/>
      <c r="D79">
        <v>5.0558014839730799E-3</v>
      </c>
      <c r="E79" s="1">
        <v>6.1896243078158903E-6</v>
      </c>
      <c r="F79">
        <v>4.9861996908871897E-3</v>
      </c>
      <c r="G79" s="1">
        <v>9.0283699818245308E-6</v>
      </c>
      <c r="H79" s="6">
        <f t="shared" si="16"/>
        <v>0.9862332820411307</v>
      </c>
      <c r="I79">
        <f t="shared" si="18"/>
        <v>2.1556244820606987E-3</v>
      </c>
      <c r="J79" s="2"/>
      <c r="L79">
        <v>6.1582182881184796E-3</v>
      </c>
      <c r="M79" s="1">
        <v>9.8842994715634199E-6</v>
      </c>
      <c r="N79">
        <v>6.1077938251299499E-3</v>
      </c>
      <c r="O79" s="1">
        <v>9.6205617748834506E-6</v>
      </c>
      <c r="P79" s="6">
        <f t="shared" si="17"/>
        <v>0.99181184221971841</v>
      </c>
      <c r="Q79">
        <f t="shared" si="19"/>
        <v>2.2304176516532194E-3</v>
      </c>
    </row>
    <row r="80" spans="1:17" x14ac:dyDescent="0.3">
      <c r="A80">
        <v>50</v>
      </c>
      <c r="B80" s="3"/>
      <c r="C80" s="1"/>
      <c r="D80">
        <v>1.0087782457006899E-2</v>
      </c>
      <c r="E80" s="1">
        <v>1.16986845524187E-5</v>
      </c>
      <c r="F80">
        <v>9.9513528124167798E-3</v>
      </c>
      <c r="G80" s="1">
        <v>1.49150381505163E-5</v>
      </c>
      <c r="H80" s="6">
        <f t="shared" si="16"/>
        <v>0.98647575468924231</v>
      </c>
      <c r="I80">
        <f t="shared" si="18"/>
        <v>1.869433707231689E-3</v>
      </c>
      <c r="J80" s="2"/>
      <c r="L80">
        <v>1.22887559133099E-2</v>
      </c>
      <c r="M80" s="1">
        <v>1.29589704180185E-5</v>
      </c>
      <c r="N80">
        <v>1.2171273109856801E-2</v>
      </c>
      <c r="O80" s="1">
        <v>2.1324546647608199E-5</v>
      </c>
      <c r="P80" s="6">
        <f t="shared" si="17"/>
        <v>0.99043981308751894</v>
      </c>
      <c r="Q80">
        <f t="shared" si="19"/>
        <v>2.0253690793008185E-3</v>
      </c>
    </row>
    <row r="81" spans="1:17" x14ac:dyDescent="0.3">
      <c r="A81">
        <v>75</v>
      </c>
      <c r="B81" s="3"/>
      <c r="C81" s="1"/>
      <c r="D81">
        <v>1.50934860556895E-2</v>
      </c>
      <c r="E81" s="1">
        <v>1.70782053665879E-5</v>
      </c>
      <c r="F81">
        <v>1.49268533044647E-2</v>
      </c>
      <c r="G81" s="1">
        <v>1.3857646507231E-5</v>
      </c>
      <c r="H81" s="6">
        <f t="shared" si="16"/>
        <v>0.98895995592999619</v>
      </c>
      <c r="I81">
        <f t="shared" si="18"/>
        <v>1.4474510813786332E-3</v>
      </c>
      <c r="J81" s="2"/>
      <c r="L81">
        <v>1.8371849012466902E-2</v>
      </c>
      <c r="M81" s="1">
        <v>1.8508626230406801E-5</v>
      </c>
      <c r="N81">
        <v>1.8207572674205901E-2</v>
      </c>
      <c r="O81" s="1">
        <v>2.44581035990221E-5</v>
      </c>
      <c r="P81" s="6">
        <f t="shared" si="17"/>
        <v>0.99105825776439138</v>
      </c>
      <c r="Q81">
        <f t="shared" si="19"/>
        <v>1.664087211902877E-3</v>
      </c>
    </row>
    <row r="82" spans="1:17" x14ac:dyDescent="0.3">
      <c r="A82">
        <v>100</v>
      </c>
      <c r="B82" s="3"/>
      <c r="C82" s="1"/>
      <c r="D82">
        <v>2.0092596382124801E-2</v>
      </c>
      <c r="E82" s="1">
        <v>2.9515645920923001E-5</v>
      </c>
      <c r="F82">
        <v>1.9887871213505302E-2</v>
      </c>
      <c r="G82" s="1">
        <v>2.55615407262553E-5</v>
      </c>
      <c r="H82" s="6">
        <f t="shared" si="16"/>
        <v>0.98981091518856013</v>
      </c>
      <c r="I82">
        <f t="shared" si="18"/>
        <v>1.9319977820100973E-3</v>
      </c>
      <c r="J82" s="2"/>
      <c r="L82">
        <v>2.43271897166558E-2</v>
      </c>
      <c r="M82" s="1">
        <v>3.1299383235957799E-5</v>
      </c>
      <c r="N82">
        <v>2.4172743202431499E-2</v>
      </c>
      <c r="O82" s="1">
        <v>3.2228791995716999E-5</v>
      </c>
      <c r="P82" s="6">
        <f t="shared" si="17"/>
        <v>0.99365128006879655</v>
      </c>
      <c r="Q82">
        <f t="shared" si="19"/>
        <v>1.8410592624697934E-3</v>
      </c>
    </row>
    <row r="83" spans="1:17" x14ac:dyDescent="0.3">
      <c r="A83">
        <v>150</v>
      </c>
      <c r="B83" s="3"/>
      <c r="C83" s="1"/>
      <c r="D83">
        <v>3.00179157888214E-2</v>
      </c>
      <c r="E83" s="1">
        <v>3.4087650495836803E-5</v>
      </c>
      <c r="H83" s="6">
        <f t="shared" si="16"/>
        <v>0</v>
      </c>
      <c r="I83" t="e">
        <f t="shared" si="18"/>
        <v>#DIV/0!</v>
      </c>
      <c r="J83" s="2"/>
      <c r="L83">
        <v>3.6245762780485802E-2</v>
      </c>
      <c r="M83" s="1">
        <v>3.92808357194154E-5</v>
      </c>
      <c r="N83">
        <v>3.5927691606669497E-2</v>
      </c>
      <c r="O83" s="1">
        <v>3.5331045630474298E-5</v>
      </c>
      <c r="P83" s="6">
        <f t="shared" si="17"/>
        <v>0.9912245970448289</v>
      </c>
      <c r="Q83">
        <f t="shared" si="19"/>
        <v>1.4505601412026115E-3</v>
      </c>
    </row>
    <row r="84" spans="1:17" x14ac:dyDescent="0.3">
      <c r="A84">
        <v>250</v>
      </c>
      <c r="B84" s="3"/>
      <c r="C84" s="1"/>
      <c r="D84">
        <v>4.9734447162320401E-2</v>
      </c>
      <c r="E84" s="1">
        <v>6.4645159030235E-5</v>
      </c>
      <c r="H84" s="6">
        <f t="shared" si="16"/>
        <v>0</v>
      </c>
      <c r="I84" t="e">
        <f t="shared" si="18"/>
        <v>#DIV/0!</v>
      </c>
      <c r="J84" s="2"/>
      <c r="L84">
        <v>5.9402715051338199E-2</v>
      </c>
      <c r="M84" s="1">
        <v>6.9304807814503901E-5</v>
      </c>
      <c r="N84">
        <v>5.9055974302948303E-2</v>
      </c>
      <c r="O84" s="1">
        <v>6.6492878086677994E-5</v>
      </c>
      <c r="P84" s="6">
        <f t="shared" si="17"/>
        <v>0.99416288046614987</v>
      </c>
      <c r="Q84">
        <f t="shared" si="19"/>
        <v>1.6119220123475947E-3</v>
      </c>
    </row>
    <row r="85" spans="1:17" x14ac:dyDescent="0.3">
      <c r="A85">
        <v>500</v>
      </c>
      <c r="B85" s="3"/>
      <c r="C85" s="1"/>
      <c r="D85">
        <v>9.8175431650812398E-2</v>
      </c>
      <c r="E85">
        <v>1.1926647552751499E-4</v>
      </c>
      <c r="H85" s="6">
        <f t="shared" si="16"/>
        <v>0</v>
      </c>
      <c r="I85" t="e">
        <f t="shared" si="18"/>
        <v>#DIV/0!</v>
      </c>
      <c r="J85" s="2"/>
      <c r="L85">
        <v>0.114483792434821</v>
      </c>
      <c r="M85">
        <v>1.39194216858858E-4</v>
      </c>
      <c r="N85">
        <v>0.11368551367483699</v>
      </c>
      <c r="O85">
        <v>1.8467223694082401E-4</v>
      </c>
      <c r="P85" s="6">
        <f t="shared" si="17"/>
        <v>0.99302714608761333</v>
      </c>
      <c r="Q85">
        <f t="shared" si="19"/>
        <v>2.0148885303333877E-3</v>
      </c>
    </row>
    <row r="86" spans="1:17" x14ac:dyDescent="0.3">
      <c r="A86">
        <v>750</v>
      </c>
      <c r="B86" s="3"/>
      <c r="D86">
        <v>0.144214003795889</v>
      </c>
      <c r="E86">
        <v>1.74858178010965E-4</v>
      </c>
      <c r="H86" s="6">
        <f t="shared" si="16"/>
        <v>0</v>
      </c>
      <c r="I86" t="e">
        <f t="shared" si="18"/>
        <v>#DIV/0!</v>
      </c>
      <c r="J86" s="3"/>
      <c r="L86">
        <v>0.16472051968134599</v>
      </c>
      <c r="M86">
        <v>1.6222360707556901E-4</v>
      </c>
      <c r="N86">
        <v>0.163904437944666</v>
      </c>
      <c r="O86">
        <v>1.80982992571986E-4</v>
      </c>
      <c r="P86" s="6">
        <f t="shared" si="17"/>
        <v>0.99504565831713798</v>
      </c>
      <c r="Q86">
        <f t="shared" si="19"/>
        <v>1.4722528853940004E-3</v>
      </c>
    </row>
    <row r="87" spans="1:17" x14ac:dyDescent="0.3">
      <c r="A87">
        <v>999.99</v>
      </c>
      <c r="B87" s="3"/>
      <c r="D87">
        <v>0.187638403751725</v>
      </c>
      <c r="E87">
        <v>2.42561007731545E-4</v>
      </c>
      <c r="H87" s="6">
        <f t="shared" si="16"/>
        <v>0</v>
      </c>
      <c r="I87" t="e">
        <f>H87*((E87/D87)^2 +(G87/F87)^2)^0.5</f>
        <v>#DIV/0!</v>
      </c>
      <c r="J87" s="3"/>
      <c r="L87">
        <v>0.21100076304460699</v>
      </c>
      <c r="M87">
        <v>2.47499288497926E-4</v>
      </c>
      <c r="N87">
        <v>0.209877834651196</v>
      </c>
      <c r="O87">
        <v>2.8421294903727698E-4</v>
      </c>
      <c r="P87" s="6">
        <f t="shared" si="17"/>
        <v>0.99467808373198352</v>
      </c>
      <c r="Q87">
        <f>P87*((M87/L87)^2 +(O87/N87)^2)^0.5</f>
        <v>1.7820258962268976E-3</v>
      </c>
    </row>
    <row r="89" spans="1:17" x14ac:dyDescent="0.3">
      <c r="C89" s="18" t="s">
        <v>12</v>
      </c>
      <c r="D89" s="8"/>
      <c r="E89" s="8"/>
      <c r="F89" s="9"/>
      <c r="G89" s="9"/>
      <c r="H89" s="9"/>
      <c r="I89" s="9"/>
      <c r="K89" s="1"/>
      <c r="L89" s="1"/>
      <c r="M89" s="1"/>
      <c r="N89" s="1"/>
    </row>
    <row r="90" spans="1:17" x14ac:dyDescent="0.3">
      <c r="C90" s="12" t="s">
        <v>4</v>
      </c>
      <c r="D90" s="12"/>
      <c r="E90" s="12"/>
      <c r="F90" s="13"/>
      <c r="G90" s="13"/>
      <c r="H90" s="13"/>
      <c r="I90" s="12"/>
      <c r="K90" s="15" t="s">
        <v>3</v>
      </c>
      <c r="L90" s="15"/>
      <c r="M90" s="16"/>
      <c r="N90" s="16"/>
      <c r="O90" s="15"/>
      <c r="P90" s="15"/>
      <c r="Q90" s="15"/>
    </row>
    <row r="91" spans="1:17" x14ac:dyDescent="0.3">
      <c r="A91" s="4" t="s">
        <v>0</v>
      </c>
      <c r="B91" s="4"/>
      <c r="C91" s="13" t="s">
        <v>1</v>
      </c>
      <c r="D91" s="13" t="s">
        <v>7</v>
      </c>
      <c r="E91" s="13" t="s">
        <v>8</v>
      </c>
      <c r="F91" s="13" t="s">
        <v>9</v>
      </c>
      <c r="G91" s="13" t="s">
        <v>10</v>
      </c>
      <c r="H91" s="14" t="s">
        <v>6</v>
      </c>
      <c r="I91" s="14" t="s">
        <v>11</v>
      </c>
      <c r="J91" s="5"/>
      <c r="K91" s="16" t="s">
        <v>1</v>
      </c>
      <c r="L91" s="16" t="s">
        <v>7</v>
      </c>
      <c r="M91" s="16" t="s">
        <v>8</v>
      </c>
      <c r="N91" s="16" t="s">
        <v>9</v>
      </c>
      <c r="O91" s="16" t="s">
        <v>10</v>
      </c>
      <c r="P91" s="17" t="s">
        <v>6</v>
      </c>
      <c r="Q91" s="17" t="s">
        <v>11</v>
      </c>
    </row>
    <row r="92" spans="1:17" x14ac:dyDescent="0.3">
      <c r="A92">
        <v>0.1</v>
      </c>
      <c r="B92" s="3"/>
      <c r="C92" s="1"/>
      <c r="D92" s="1">
        <v>6.1377059341900601E-6</v>
      </c>
      <c r="E92" s="1">
        <v>6.5011853480463401E-10</v>
      </c>
      <c r="F92" s="1">
        <v>6.0745991893579203E-6</v>
      </c>
      <c r="G92" s="1">
        <v>8.9451721369474302E-9</v>
      </c>
      <c r="H92" s="6">
        <f t="shared" ref="H92:H104" si="20">F92/D92</f>
        <v>0.98971818697265956</v>
      </c>
      <c r="I92">
        <f>H92*((E92/D92)^2 +(G92/F92)^2)^0.5</f>
        <v>1.4611784548978087E-3</v>
      </c>
      <c r="J92" s="2"/>
      <c r="K92" s="1"/>
      <c r="L92" s="1">
        <v>1.5930510467711099E-6</v>
      </c>
      <c r="M92" s="1">
        <v>1.65600483830151E-10</v>
      </c>
      <c r="N92" s="1">
        <v>1.5741702493169501E-6</v>
      </c>
      <c r="O92" s="1">
        <v>2.5700779401292402E-9</v>
      </c>
      <c r="P92" s="6">
        <f t="shared" ref="P92:P104" si="21">N92/L92</f>
        <v>0.98814802733884233</v>
      </c>
      <c r="Q92">
        <f>P92*((M92/L92)^2 +(O92/N92)^2)^0.5</f>
        <v>1.6165722467163411E-3</v>
      </c>
    </row>
    <row r="93" spans="1:17" x14ac:dyDescent="0.3">
      <c r="A93">
        <v>0.5</v>
      </c>
      <c r="B93" s="3"/>
      <c r="C93" s="1"/>
      <c r="D93" s="1">
        <v>3.0735354469935802E-5</v>
      </c>
      <c r="E93" s="1">
        <v>3.2888347224815601E-9</v>
      </c>
      <c r="F93" s="1">
        <v>3.04885957059744E-5</v>
      </c>
      <c r="G93" s="1">
        <v>2.0677466656789801E-8</v>
      </c>
      <c r="H93" s="6">
        <f t="shared" si="20"/>
        <v>0.99197150095656872</v>
      </c>
      <c r="I93">
        <f t="shared" ref="I93:I103" si="22">H93*((E93/D93)^2 +(G93/F93)^2)^0.5</f>
        <v>6.8108057665906764E-4</v>
      </c>
      <c r="J93" s="2"/>
      <c r="L93" s="1">
        <v>7.9783288855483107E-6</v>
      </c>
      <c r="M93" s="1">
        <v>8.0769164104274605E-10</v>
      </c>
      <c r="N93" s="1">
        <v>7.9038252433909995E-6</v>
      </c>
      <c r="O93" s="1">
        <v>5.7304767339735299E-9</v>
      </c>
      <c r="P93" s="6">
        <f t="shared" si="21"/>
        <v>0.99066174844054566</v>
      </c>
      <c r="Q93">
        <f t="shared" ref="Q93:Q103" si="23">P93*((M93/L93)^2 +(O93/N93)^2)^0.5</f>
        <v>7.2522325975314477E-4</v>
      </c>
    </row>
    <row r="94" spans="1:17" x14ac:dyDescent="0.3">
      <c r="A94">
        <v>1</v>
      </c>
      <c r="B94" s="3"/>
      <c r="C94" s="1"/>
      <c r="D94" s="1">
        <v>6.1492338452019598E-5</v>
      </c>
      <c r="E94" s="1">
        <v>5.9150812321793704E-9</v>
      </c>
      <c r="F94" s="1">
        <v>6.1000177340110403E-5</v>
      </c>
      <c r="G94" s="1">
        <v>2.8830433758120402E-8</v>
      </c>
      <c r="H94" s="6">
        <f t="shared" si="20"/>
        <v>0.9919963832194606</v>
      </c>
      <c r="I94">
        <f t="shared" si="22"/>
        <v>4.7845787199425399E-4</v>
      </c>
      <c r="J94" s="2"/>
      <c r="L94" s="1">
        <v>1.5963437915775598E-5</v>
      </c>
      <c r="M94" s="1">
        <v>1.39122184548795E-9</v>
      </c>
      <c r="N94" s="1">
        <v>1.5817958052602401E-5</v>
      </c>
      <c r="O94" s="1">
        <v>8.6283519166794296E-9</v>
      </c>
      <c r="P94" s="6">
        <f t="shared" si="21"/>
        <v>0.99088668343618957</v>
      </c>
      <c r="Q94">
        <f t="shared" si="23"/>
        <v>5.4736218274390727E-4</v>
      </c>
    </row>
    <row r="95" spans="1:17" x14ac:dyDescent="0.3">
      <c r="A95">
        <v>10</v>
      </c>
      <c r="B95" s="3"/>
      <c r="C95" s="1"/>
      <c r="D95">
        <v>6.1359823656618703E-4</v>
      </c>
      <c r="E95" s="1">
        <v>1.7277411502086099E-7</v>
      </c>
      <c r="F95">
        <v>6.1055975015409498E-4</v>
      </c>
      <c r="G95" s="1">
        <v>3.3461909743024802E-7</v>
      </c>
      <c r="H95" s="6">
        <f t="shared" si="20"/>
        <v>0.99504808483626683</v>
      </c>
      <c r="I95">
        <f t="shared" si="22"/>
        <v>6.1310365380674501E-4</v>
      </c>
      <c r="J95" s="2"/>
      <c r="L95">
        <v>1.5929141384867101E-4</v>
      </c>
      <c r="M95" s="1">
        <v>4.3762693503452201E-8</v>
      </c>
      <c r="N95">
        <v>1.5839837724063901E-4</v>
      </c>
      <c r="O95" s="1">
        <v>9.7089667713491904E-8</v>
      </c>
      <c r="P95" s="6">
        <f t="shared" si="21"/>
        <v>0.99439369275182399</v>
      </c>
      <c r="Q95">
        <f t="shared" si="23"/>
        <v>6.6793464964274413E-4</v>
      </c>
    </row>
    <row r="96" spans="1:17" x14ac:dyDescent="0.3">
      <c r="A96">
        <v>25</v>
      </c>
      <c r="B96" s="3"/>
      <c r="C96" s="1"/>
      <c r="D96">
        <v>1.5261889267198399E-3</v>
      </c>
      <c r="E96" s="1">
        <v>1.14318268477437E-6</v>
      </c>
      <c r="F96">
        <v>1.5176360020393699E-3</v>
      </c>
      <c r="G96" s="1">
        <v>2.27044904094612E-6</v>
      </c>
      <c r="H96" s="6">
        <f t="shared" si="20"/>
        <v>0.99439589389574967</v>
      </c>
      <c r="I96">
        <f t="shared" si="22"/>
        <v>1.6637085029707901E-3</v>
      </c>
      <c r="J96" s="2"/>
      <c r="L96">
        <v>3.9601961871322503E-4</v>
      </c>
      <c r="M96" s="1">
        <v>3.2948969998976799E-7</v>
      </c>
      <c r="N96">
        <v>3.9349421991561798E-4</v>
      </c>
      <c r="O96" s="1">
        <v>5.9433254474399601E-7</v>
      </c>
      <c r="P96" s="6">
        <f t="shared" si="21"/>
        <v>0.99362304623742437</v>
      </c>
      <c r="Q96">
        <f t="shared" si="23"/>
        <v>1.713396075801996E-3</v>
      </c>
    </row>
    <row r="97" spans="1:17" x14ac:dyDescent="0.3">
      <c r="A97">
        <v>50</v>
      </c>
      <c r="B97" s="3"/>
      <c r="C97" s="1"/>
      <c r="D97">
        <v>3.0240386323727099E-3</v>
      </c>
      <c r="E97" s="1">
        <v>2.6402202836250101E-6</v>
      </c>
      <c r="F97">
        <v>3.0107720026164402E-3</v>
      </c>
      <c r="G97" s="1">
        <v>3.3765387186651799E-6</v>
      </c>
      <c r="H97" s="6">
        <f t="shared" si="20"/>
        <v>0.99561294303113435</v>
      </c>
      <c r="I97">
        <f t="shared" si="22"/>
        <v>1.4150302261022782E-3</v>
      </c>
      <c r="J97" s="2"/>
      <c r="L97">
        <v>7.8399076922384297E-4</v>
      </c>
      <c r="M97" s="1">
        <v>5.9026868869718298E-7</v>
      </c>
      <c r="N97">
        <v>7.80852204299984E-4</v>
      </c>
      <c r="O97" s="1">
        <v>9.7406487421364095E-7</v>
      </c>
      <c r="P97" s="6">
        <f t="shared" si="21"/>
        <v>0.99599668127857399</v>
      </c>
      <c r="Q97">
        <f t="shared" si="23"/>
        <v>1.4512066100184763E-3</v>
      </c>
    </row>
    <row r="98" spans="1:17" x14ac:dyDescent="0.3">
      <c r="A98">
        <v>75</v>
      </c>
      <c r="B98" s="3"/>
      <c r="C98" s="1"/>
      <c r="D98">
        <v>4.50679407740522E-3</v>
      </c>
      <c r="E98" s="1">
        <v>4.2647960521843998E-6</v>
      </c>
      <c r="F98">
        <v>4.4935620809677798E-3</v>
      </c>
      <c r="G98" s="1">
        <v>3.6952965727364501E-6</v>
      </c>
      <c r="H98" s="6">
        <f t="shared" si="20"/>
        <v>0.99706398912171768</v>
      </c>
      <c r="I98">
        <f t="shared" si="22"/>
        <v>1.2500160874864088E-3</v>
      </c>
      <c r="J98" s="2"/>
      <c r="L98">
        <v>1.1685174391520899E-3</v>
      </c>
      <c r="M98" s="1">
        <v>1.1542133311304201E-6</v>
      </c>
      <c r="N98">
        <v>1.1646109982718701E-3</v>
      </c>
      <c r="O98" s="1">
        <v>1.11497766509073E-6</v>
      </c>
      <c r="P98" s="6">
        <f t="shared" si="21"/>
        <v>0.99665692547724882</v>
      </c>
      <c r="Q98">
        <f t="shared" si="23"/>
        <v>1.3709912639735175E-3</v>
      </c>
    </row>
    <row r="99" spans="1:17" x14ac:dyDescent="0.3">
      <c r="A99">
        <v>100</v>
      </c>
      <c r="B99" s="3"/>
      <c r="C99" s="1"/>
      <c r="D99">
        <v>5.9662056707135503E-3</v>
      </c>
      <c r="E99" s="1">
        <v>5.40641051549475E-6</v>
      </c>
      <c r="F99">
        <v>5.9346035425855304E-3</v>
      </c>
      <c r="G99" s="1">
        <v>5.5032901510436297E-6</v>
      </c>
      <c r="H99" s="6">
        <f t="shared" si="20"/>
        <v>0.99470314469996468</v>
      </c>
      <c r="I99">
        <f t="shared" si="22"/>
        <v>1.2896950309998858E-3</v>
      </c>
      <c r="J99" s="2"/>
      <c r="L99">
        <v>1.54673264952424E-3</v>
      </c>
      <c r="M99" s="1">
        <v>1.51849573172552E-6</v>
      </c>
      <c r="N99">
        <v>1.5382311816428799E-3</v>
      </c>
      <c r="O99" s="1">
        <v>1.4500464744755799E-6</v>
      </c>
      <c r="P99" s="6">
        <f t="shared" si="21"/>
        <v>0.9945035957675199</v>
      </c>
      <c r="Q99">
        <f t="shared" si="23"/>
        <v>1.353566839850045E-3</v>
      </c>
    </row>
    <row r="100" spans="1:17" x14ac:dyDescent="0.3">
      <c r="A100">
        <v>150</v>
      </c>
      <c r="B100" s="3"/>
      <c r="C100" s="1"/>
      <c r="D100">
        <v>8.7899155121648007E-3</v>
      </c>
      <c r="E100" s="1">
        <v>8.4141165447635294E-6</v>
      </c>
      <c r="H100" s="6">
        <f t="shared" si="20"/>
        <v>0</v>
      </c>
      <c r="I100" t="e">
        <f t="shared" si="22"/>
        <v>#DIV/0!</v>
      </c>
      <c r="J100" s="2"/>
      <c r="L100">
        <v>2.2773061972286E-3</v>
      </c>
      <c r="M100" s="1">
        <v>1.8388961974808701E-6</v>
      </c>
      <c r="N100">
        <v>2.2697569755679901E-3</v>
      </c>
      <c r="O100" s="1">
        <v>2.1584319185391E-6</v>
      </c>
      <c r="P100" s="6">
        <f t="shared" si="21"/>
        <v>0.99668502124580483</v>
      </c>
      <c r="Q100">
        <f t="shared" si="23"/>
        <v>1.2434009620595613E-3</v>
      </c>
    </row>
    <row r="101" spans="1:17" x14ac:dyDescent="0.3">
      <c r="A101">
        <v>250</v>
      </c>
      <c r="B101" s="3"/>
      <c r="C101" s="1"/>
      <c r="D101">
        <v>1.42163192656607E-2</v>
      </c>
      <c r="E101" s="1">
        <v>1.2836259331731899E-5</v>
      </c>
      <c r="H101" s="6">
        <f t="shared" si="20"/>
        <v>0</v>
      </c>
      <c r="I101" t="e">
        <f t="shared" si="22"/>
        <v>#DIV/0!</v>
      </c>
      <c r="J101" s="2"/>
      <c r="L101">
        <v>3.6770878239360399E-3</v>
      </c>
      <c r="M101" s="1">
        <v>3.3129308552088702E-6</v>
      </c>
      <c r="N101">
        <v>3.6628404748051801E-3</v>
      </c>
      <c r="O101" s="1">
        <v>3.67639490119231E-6</v>
      </c>
      <c r="P101" s="6">
        <f t="shared" si="21"/>
        <v>0.99612537154045744</v>
      </c>
      <c r="Q101">
        <f t="shared" si="23"/>
        <v>1.3435343559292461E-3</v>
      </c>
    </row>
    <row r="102" spans="1:17" x14ac:dyDescent="0.3">
      <c r="A102">
        <v>500</v>
      </c>
      <c r="B102" s="3"/>
      <c r="C102" s="1"/>
      <c r="D102">
        <v>2.6357970030464899E-2</v>
      </c>
      <c r="E102" s="1">
        <v>2.4421328068662499E-5</v>
      </c>
      <c r="H102" s="6">
        <f t="shared" si="20"/>
        <v>0</v>
      </c>
      <c r="I102" t="e">
        <f t="shared" si="22"/>
        <v>#DIV/0!</v>
      </c>
      <c r="J102" s="2"/>
      <c r="L102">
        <v>6.7939382709162497E-3</v>
      </c>
      <c r="M102" s="1">
        <v>5.8793471054976199E-6</v>
      </c>
      <c r="N102">
        <v>6.76993363102317E-3</v>
      </c>
      <c r="O102" s="1">
        <v>6.0233973532027101E-6</v>
      </c>
      <c r="P102" s="6">
        <f t="shared" si="21"/>
        <v>0.99646675625596426</v>
      </c>
      <c r="Q102">
        <f t="shared" si="23"/>
        <v>1.2367835060891773E-3</v>
      </c>
    </row>
    <row r="103" spans="1:17" x14ac:dyDescent="0.3">
      <c r="A103">
        <v>750</v>
      </c>
      <c r="B103" s="3"/>
      <c r="D103">
        <v>3.7020582201278698E-2</v>
      </c>
      <c r="E103" s="1">
        <v>3.84860034148077E-5</v>
      </c>
      <c r="H103" s="6">
        <f t="shared" si="20"/>
        <v>0</v>
      </c>
      <c r="I103" t="e">
        <f t="shared" si="22"/>
        <v>#DIV/0!</v>
      </c>
      <c r="J103" s="3"/>
      <c r="L103">
        <v>9.5123806968783701E-3</v>
      </c>
      <c r="M103" s="1">
        <v>7.1281968286277104E-6</v>
      </c>
      <c r="N103">
        <v>9.4892912197387692E-3</v>
      </c>
      <c r="O103" s="1">
        <v>8.32761033818195E-6</v>
      </c>
      <c r="P103" s="6">
        <f t="shared" si="21"/>
        <v>0.99757269206570154</v>
      </c>
      <c r="Q103">
        <f t="shared" si="23"/>
        <v>1.151186180212625E-3</v>
      </c>
    </row>
    <row r="104" spans="1:17" x14ac:dyDescent="0.3">
      <c r="A104">
        <v>999.99</v>
      </c>
      <c r="B104" s="3"/>
      <c r="D104">
        <v>4.6422474047507503E-2</v>
      </c>
      <c r="E104" s="1">
        <v>4.3252132292944603E-5</v>
      </c>
      <c r="H104" s="6">
        <f t="shared" si="20"/>
        <v>0</v>
      </c>
      <c r="I104" t="e">
        <f>H104*((E104/D104)^2 +(G104/F104)^2)^0.5</f>
        <v>#DIV/0!</v>
      </c>
      <c r="J104" s="3"/>
      <c r="L104">
        <v>1.18865612101144E-2</v>
      </c>
      <c r="M104" s="1">
        <v>1.1116236336809801E-5</v>
      </c>
      <c r="N104">
        <v>1.1839679458885701E-2</v>
      </c>
      <c r="O104" s="1">
        <v>1.4447158718593701E-5</v>
      </c>
      <c r="P104" s="6">
        <f t="shared" si="21"/>
        <v>0.99605590293105062</v>
      </c>
      <c r="Q104">
        <f>P104*((M104/L104)^2 +(O104/N104)^2)^0.5</f>
        <v>1.5313218046202142E-3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2026-06-22T16:58:59Z</dcterms:modified>
</cp:coreProperties>
</file>