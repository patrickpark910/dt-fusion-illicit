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patri\projects\emma-openmc\Extras\2026-06-20 - Main results stats\"/>
    </mc:Choice>
  </mc:AlternateContent>
  <xr:revisionPtr revIDLastSave="0" documentId="13_ncr:1_{2BBCED76-E942-4C54-906B-F44C12EF9361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5" i="1"/>
  <c r="D34" i="1"/>
  <c r="C34" i="1"/>
  <c r="D32" i="1"/>
  <c r="C32" i="1"/>
  <c r="D31" i="1"/>
  <c r="C31" i="1"/>
  <c r="C21" i="1"/>
  <c r="C22" i="1"/>
  <c r="D22" i="1"/>
  <c r="D21" i="1"/>
  <c r="C19" i="1"/>
  <c r="D19" i="1"/>
  <c r="D18" i="1"/>
  <c r="C18" i="1"/>
</calcChain>
</file>

<file path=xl/sharedStrings.xml><?xml version="1.0" encoding="utf-8"?>
<sst xmlns="http://schemas.openxmlformats.org/spreadsheetml/2006/main" count="62" uniqueCount="19">
  <si>
    <t>Uranium</t>
  </si>
  <si>
    <t>rho [kg/m3]</t>
  </si>
  <si>
    <t>XF4</t>
  </si>
  <si>
    <t>FLiBe</t>
  </si>
  <si>
    <t>Volume [m3]</t>
  </si>
  <si>
    <t>TBR</t>
  </si>
  <si>
    <t>FPR</t>
  </si>
  <si>
    <t>Reaction rates</t>
  </si>
  <si>
    <t>Thorium</t>
  </si>
  <si>
    <t>BISO</t>
  </si>
  <si>
    <t>Pb-17Li</t>
  </si>
  <si>
    <t>Li4SiO4+Be</t>
  </si>
  <si>
    <t>E_mode [eV]</t>
  </si>
  <si>
    <t>Volume Fraction</t>
  </si>
  <si>
    <t>Reaction rates [rxns/src-n]</t>
  </si>
  <si>
    <t>FPR [kg/yr]</t>
  </si>
  <si>
    <t>E_modes</t>
  </si>
  <si>
    <t>Flux</t>
  </si>
  <si>
    <t>Fertile (n,gamma)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</si>
</sst>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5"/>
  <sheetViews>
    <sheetView tabSelected="1" workbookViewId="0">
      <selection activeCell="M38" sqref="M38"/>
    </sheetView>
  </sheetViews>
  <sheetFormatPr defaultRowHeight="14.4" x14ac:dyDescent="0.3"/>
  <cols>
    <col min="1" max="1" width="17.77734375" customWidth="1"/>
    <col min="2" max="2" width="1.109375" customWidth="1"/>
    <col min="3" max="4" width="17.77734375" customWidth="1"/>
    <col min="5" max="5" width="1.109375" customWidth="1"/>
    <col min="6" max="7" width="17.77734375" customWidth="1"/>
    <col min="8" max="8" width="1.109375" customWidth="1"/>
    <col min="9" max="11" width="17.77734375" customWidth="1"/>
    <col min="12" max="12" width="1.109375" customWidth="1"/>
    <col min="13" max="13" width="17.77734375" customWidth="1"/>
    <col min="14" max="15" width="17.88671875" customWidth="1"/>
  </cols>
  <sheetData>
    <row r="2" spans="1:14" x14ac:dyDescent="0.3">
      <c r="A2" s="1" t="s">
        <v>0</v>
      </c>
    </row>
    <row r="3" spans="1:14" s="3" customFormat="1" x14ac:dyDescent="0.3">
      <c r="A3" s="2"/>
      <c r="C3" s="2" t="s">
        <v>4</v>
      </c>
      <c r="F3" s="2" t="s">
        <v>13</v>
      </c>
      <c r="I3" s="2" t="s">
        <v>14</v>
      </c>
      <c r="M3" s="3" t="s">
        <v>16</v>
      </c>
    </row>
    <row r="4" spans="1:14" s="2" customFormat="1" x14ac:dyDescent="0.3">
      <c r="A4" s="2" t="s">
        <v>1</v>
      </c>
      <c r="C4" s="2" t="s">
        <v>2</v>
      </c>
      <c r="D4" s="2" t="s">
        <v>3</v>
      </c>
      <c r="F4" s="2" t="s">
        <v>2</v>
      </c>
      <c r="G4" s="2" t="s">
        <v>3</v>
      </c>
      <c r="I4" s="2" t="s">
        <v>5</v>
      </c>
      <c r="J4" s="2" t="s">
        <v>6</v>
      </c>
      <c r="K4" s="2" t="s">
        <v>15</v>
      </c>
      <c r="M4" s="2" t="s">
        <v>17</v>
      </c>
      <c r="N4" s="2" t="s">
        <v>18</v>
      </c>
    </row>
    <row r="5" spans="1:14" x14ac:dyDescent="0.3">
      <c r="A5">
        <v>0</v>
      </c>
      <c r="C5">
        <v>0</v>
      </c>
      <c r="D5">
        <v>773.3</v>
      </c>
      <c r="F5">
        <v>0</v>
      </c>
      <c r="G5">
        <v>100</v>
      </c>
      <c r="I5">
        <v>1.1943090000000001</v>
      </c>
      <c r="J5">
        <v>0</v>
      </c>
    </row>
    <row r="6" spans="1:14" s="3" customFormat="1" x14ac:dyDescent="0.3">
      <c r="C6" s="2" t="s">
        <v>9</v>
      </c>
      <c r="D6" s="2" t="s">
        <v>11</v>
      </c>
      <c r="E6" s="2"/>
      <c r="F6" s="2" t="s">
        <v>9</v>
      </c>
      <c r="G6" s="2" t="s">
        <v>11</v>
      </c>
    </row>
    <row r="7" spans="1:14" x14ac:dyDescent="0.3">
      <c r="A7">
        <v>0</v>
      </c>
      <c r="C7">
        <v>0</v>
      </c>
      <c r="D7">
        <v>265.19364000000002</v>
      </c>
      <c r="F7">
        <v>0</v>
      </c>
      <c r="G7">
        <v>100</v>
      </c>
      <c r="I7">
        <v>1.404682</v>
      </c>
      <c r="J7">
        <v>0</v>
      </c>
    </row>
    <row r="8" spans="1:14" s="3" customFormat="1" x14ac:dyDescent="0.3">
      <c r="C8" s="2" t="s">
        <v>9</v>
      </c>
      <c r="D8" s="2" t="s">
        <v>10</v>
      </c>
      <c r="E8" s="2"/>
      <c r="F8" s="2" t="s">
        <v>9</v>
      </c>
      <c r="G8" s="2" t="s">
        <v>10</v>
      </c>
    </row>
    <row r="9" spans="1:14" x14ac:dyDescent="0.3">
      <c r="A9">
        <v>0</v>
      </c>
      <c r="C9">
        <v>0</v>
      </c>
      <c r="D9">
        <v>345.25839999999999</v>
      </c>
      <c r="F9">
        <v>0</v>
      </c>
      <c r="G9">
        <v>100</v>
      </c>
      <c r="I9">
        <v>1.37344</v>
      </c>
      <c r="J9">
        <v>0</v>
      </c>
    </row>
    <row r="12" spans="1:14" x14ac:dyDescent="0.3">
      <c r="A12" s="1" t="s">
        <v>0</v>
      </c>
    </row>
    <row r="13" spans="1:14" s="3" customFormat="1" x14ac:dyDescent="0.3">
      <c r="A13" s="2"/>
      <c r="C13" s="2" t="s">
        <v>4</v>
      </c>
      <c r="F13" s="2" t="s">
        <v>13</v>
      </c>
      <c r="I13" s="2" t="s">
        <v>7</v>
      </c>
    </row>
    <row r="14" spans="1:14" s="2" customFormat="1" x14ac:dyDescent="0.3">
      <c r="A14" s="2" t="s">
        <v>1</v>
      </c>
      <c r="C14" s="2" t="s">
        <v>2</v>
      </c>
      <c r="D14" s="2" t="s">
        <v>3</v>
      </c>
      <c r="F14" s="2" t="s">
        <v>2</v>
      </c>
      <c r="G14" s="2" t="s">
        <v>3</v>
      </c>
      <c r="I14" s="2" t="s">
        <v>5</v>
      </c>
      <c r="J14" s="2" t="s">
        <v>6</v>
      </c>
      <c r="M14" s="2" t="s">
        <v>12</v>
      </c>
    </row>
    <row r="15" spans="1:14" x14ac:dyDescent="0.3">
      <c r="A15">
        <v>150</v>
      </c>
      <c r="C15">
        <v>22.240369000000001</v>
      </c>
      <c r="D15">
        <v>751.05963099999997</v>
      </c>
      <c r="F15">
        <v>2.8760340000000002</v>
      </c>
      <c r="G15">
        <v>97.123965999999996</v>
      </c>
      <c r="I15">
        <v>1.1039159999999999</v>
      </c>
      <c r="J15">
        <v>0.11577</v>
      </c>
    </row>
    <row r="16" spans="1:14" x14ac:dyDescent="0.3">
      <c r="A16">
        <v>1000</v>
      </c>
      <c r="C16">
        <v>148.26764399999999</v>
      </c>
      <c r="D16">
        <v>625.03235600000005</v>
      </c>
      <c r="F16">
        <v>19.173366999999999</v>
      </c>
      <c r="G16">
        <v>80.826633000000001</v>
      </c>
      <c r="I16">
        <v>0.89317899999999995</v>
      </c>
      <c r="J16">
        <v>0.44375399999999998</v>
      </c>
    </row>
    <row r="17" spans="1:13" s="3" customFormat="1" x14ac:dyDescent="0.3">
      <c r="C17" s="2" t="s">
        <v>9</v>
      </c>
      <c r="D17" s="2" t="s">
        <v>11</v>
      </c>
      <c r="E17" s="2"/>
      <c r="F17" s="2" t="s">
        <v>9</v>
      </c>
      <c r="G17" s="2" t="s">
        <v>11</v>
      </c>
    </row>
    <row r="18" spans="1:13" x14ac:dyDescent="0.3">
      <c r="A18">
        <v>150</v>
      </c>
      <c r="C18">
        <f>$D$7*F18/100</f>
        <v>8.1358014273407999</v>
      </c>
      <c r="D18">
        <f>$D$7*G18/100</f>
        <v>257.05783857265925</v>
      </c>
      <c r="F18">
        <v>3.0678719999999999</v>
      </c>
      <c r="G18">
        <v>96.932128000000006</v>
      </c>
      <c r="I18">
        <v>1.3639030000000001</v>
      </c>
      <c r="J18">
        <v>3.7983999999999997E-2</v>
      </c>
    </row>
    <row r="19" spans="1:13" x14ac:dyDescent="0.3">
      <c r="A19">
        <v>1000</v>
      </c>
      <c r="C19">
        <f>$D$7*F19/100</f>
        <v>46.205565688148411</v>
      </c>
      <c r="D19">
        <f>$D$7*G19/100</f>
        <v>218.98807431185159</v>
      </c>
      <c r="F19">
        <v>17.423331000000001</v>
      </c>
      <c r="G19">
        <v>82.576668999999995</v>
      </c>
      <c r="I19">
        <v>1.2284189999999999</v>
      </c>
      <c r="J19">
        <v>0.157806</v>
      </c>
    </row>
    <row r="20" spans="1:13" s="3" customFormat="1" x14ac:dyDescent="0.3">
      <c r="C20" s="2" t="s">
        <v>9</v>
      </c>
      <c r="D20" s="2" t="s">
        <v>10</v>
      </c>
      <c r="E20" s="2"/>
      <c r="F20" s="2" t="s">
        <v>9</v>
      </c>
      <c r="G20" s="2" t="s">
        <v>10</v>
      </c>
    </row>
    <row r="21" spans="1:13" x14ac:dyDescent="0.3">
      <c r="A21">
        <v>150</v>
      </c>
      <c r="C21">
        <f>$D$9*F21/100</f>
        <v>10.592085781247999</v>
      </c>
      <c r="D21">
        <f>$D$9*G21/100</f>
        <v>334.66631421875201</v>
      </c>
      <c r="F21">
        <v>3.0678719999999999</v>
      </c>
      <c r="G21">
        <v>96.932128000000006</v>
      </c>
      <c r="I21">
        <v>1.3570009999999999</v>
      </c>
      <c r="J21">
        <v>3.0561999999999999E-2</v>
      </c>
    </row>
    <row r="22" spans="1:13" x14ac:dyDescent="0.3">
      <c r="A22">
        <v>1000</v>
      </c>
      <c r="C22">
        <f>$D$9*F22/100</f>
        <v>60.155513837304007</v>
      </c>
      <c r="D22">
        <f>$D$9*G22/100</f>
        <v>285.102886162696</v>
      </c>
      <c r="F22">
        <v>17.423331000000001</v>
      </c>
      <c r="G22">
        <v>82.576668999999995</v>
      </c>
      <c r="I22">
        <v>1.245967</v>
      </c>
      <c r="J22">
        <v>0.19086500000000001</v>
      </c>
    </row>
    <row r="25" spans="1:13" x14ac:dyDescent="0.3">
      <c r="A25" s="1" t="s">
        <v>8</v>
      </c>
    </row>
    <row r="26" spans="1:13" s="3" customFormat="1" x14ac:dyDescent="0.3">
      <c r="A26" s="2"/>
      <c r="C26" s="2" t="s">
        <v>4</v>
      </c>
      <c r="F26" s="2" t="s">
        <v>13</v>
      </c>
      <c r="I26" s="2" t="s">
        <v>7</v>
      </c>
    </row>
    <row r="27" spans="1:13" s="3" customFormat="1" x14ac:dyDescent="0.3">
      <c r="A27" s="2" t="s">
        <v>1</v>
      </c>
      <c r="B27" s="2"/>
      <c r="C27" s="2" t="s">
        <v>2</v>
      </c>
      <c r="D27" s="2" t="s">
        <v>3</v>
      </c>
      <c r="E27" s="2"/>
      <c r="F27" s="2" t="s">
        <v>2</v>
      </c>
      <c r="G27" s="2" t="s">
        <v>3</v>
      </c>
      <c r="H27" s="2"/>
      <c r="I27" s="2" t="s">
        <v>5</v>
      </c>
      <c r="J27" s="2" t="s">
        <v>6</v>
      </c>
      <c r="K27" s="2"/>
      <c r="L27" s="2"/>
      <c r="M27" s="2"/>
    </row>
    <row r="28" spans="1:13" x14ac:dyDescent="0.3">
      <c r="A28">
        <v>150</v>
      </c>
      <c r="C28">
        <v>23.295601000000001</v>
      </c>
      <c r="D28">
        <v>750.00439900000003</v>
      </c>
      <c r="F28">
        <v>3.0124919999999999</v>
      </c>
      <c r="G28">
        <v>96.987508000000005</v>
      </c>
      <c r="I28">
        <v>1.0840339999999999</v>
      </c>
      <c r="J28">
        <v>0.12257999999999999</v>
      </c>
    </row>
    <row r="29" spans="1:13" x14ac:dyDescent="0.3">
      <c r="A29">
        <v>1000</v>
      </c>
      <c r="C29">
        <v>155.30245500000001</v>
      </c>
      <c r="D29">
        <v>617.99754499999995</v>
      </c>
      <c r="F29">
        <v>20.083079999999999</v>
      </c>
      <c r="G29">
        <v>79.916920000000005</v>
      </c>
      <c r="I29">
        <v>0.79057299999999997</v>
      </c>
      <c r="J29">
        <v>0.463341</v>
      </c>
    </row>
    <row r="30" spans="1:13" s="3" customFormat="1" x14ac:dyDescent="0.3">
      <c r="C30" s="2" t="s">
        <v>9</v>
      </c>
      <c r="D30" s="2" t="s">
        <v>11</v>
      </c>
      <c r="E30" s="2"/>
      <c r="F30" s="2" t="s">
        <v>9</v>
      </c>
      <c r="G30" s="2" t="s">
        <v>11</v>
      </c>
    </row>
    <row r="31" spans="1:13" x14ac:dyDescent="0.3">
      <c r="A31">
        <v>150</v>
      </c>
      <c r="C31">
        <f>$D$7*F31/100</f>
        <v>8.5555207494324002</v>
      </c>
      <c r="D31">
        <f>$D$7*G31/100</f>
        <v>256.63811925056763</v>
      </c>
      <c r="F31">
        <v>3.2261410000000001</v>
      </c>
      <c r="G31">
        <v>96.773859000000002</v>
      </c>
      <c r="I31">
        <v>1.3519080000000001</v>
      </c>
      <c r="J31">
        <v>4.0661999999999997E-2</v>
      </c>
    </row>
    <row r="32" spans="1:13" x14ac:dyDescent="0.3">
      <c r="A32">
        <v>1000</v>
      </c>
      <c r="C32">
        <f>$D$7*F32/100</f>
        <v>48.220859672409603</v>
      </c>
      <c r="D32">
        <f>$D$7*G32/100</f>
        <v>216.97278032759044</v>
      </c>
      <c r="F32">
        <v>18.183264000000001</v>
      </c>
      <c r="G32">
        <v>81.816736000000006</v>
      </c>
      <c r="I32">
        <v>1.158199</v>
      </c>
      <c r="J32">
        <v>0.178621</v>
      </c>
    </row>
    <row r="33" spans="1:10" s="3" customFormat="1" x14ac:dyDescent="0.3">
      <c r="C33" s="2" t="s">
        <v>9</v>
      </c>
      <c r="D33" s="2" t="s">
        <v>10</v>
      </c>
      <c r="E33" s="2"/>
      <c r="F33" s="2" t="s">
        <v>9</v>
      </c>
      <c r="G33" s="2" t="s">
        <v>10</v>
      </c>
    </row>
    <row r="34" spans="1:10" x14ac:dyDescent="0.3">
      <c r="A34">
        <v>150</v>
      </c>
      <c r="C34">
        <f>$D$9*F34/100</f>
        <v>11.138522798343999</v>
      </c>
      <c r="D34">
        <f>$D$9*G34/100</f>
        <v>334.11987720165598</v>
      </c>
      <c r="F34">
        <v>3.2261410000000001</v>
      </c>
      <c r="G34">
        <v>96.773859000000002</v>
      </c>
      <c r="I34">
        <v>1.336023</v>
      </c>
      <c r="J34">
        <v>3.8768999999999998E-2</v>
      </c>
    </row>
    <row r="35" spans="1:10" x14ac:dyDescent="0.3">
      <c r="A35">
        <v>1000</v>
      </c>
      <c r="C35">
        <f>$D$9*F35/100</f>
        <v>62.779246354176003</v>
      </c>
      <c r="D35">
        <f>$D$9*G35/100</f>
        <v>282.479153645824</v>
      </c>
      <c r="F35">
        <v>18.183264000000001</v>
      </c>
      <c r="G35">
        <v>81.816736000000006</v>
      </c>
      <c r="I35">
        <v>1.142002</v>
      </c>
      <c r="J35">
        <v>0.22381899999999999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2026-06-21T00:21:46Z</dcterms:modified>
</cp:coreProperties>
</file>