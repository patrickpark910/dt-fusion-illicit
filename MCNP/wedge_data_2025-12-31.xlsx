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469F683F-89E6-49AC-BFEF-9CF1885BB7EF}" xr6:coauthVersionLast="47" xr6:coauthVersionMax="47" xr10:uidLastSave="{00000000-0000-0000-0000-000000000000}"/>
  <bookViews>
    <workbookView xWindow="-30828" yWindow="-36" windowWidth="30936" windowHeight="17496" activeTab="1" xr2:uid="{00000000-000D-0000-FFFF-FFFF00000000}"/>
  </bookViews>
  <sheets>
    <sheet name="Fissile production" sheetId="2" r:id="rId1"/>
    <sheet name="TB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3" l="1"/>
  <c r="J55" i="3"/>
  <c r="J54" i="3"/>
  <c r="J53" i="3"/>
  <c r="J52" i="3"/>
  <c r="J51" i="3"/>
  <c r="J50" i="3"/>
  <c r="J49" i="3"/>
  <c r="J48" i="3"/>
  <c r="M48" i="3" s="1"/>
  <c r="J47" i="3"/>
  <c r="J46" i="3"/>
  <c r="J45" i="3"/>
  <c r="J44" i="3"/>
  <c r="K53" i="3"/>
  <c r="M56" i="3"/>
  <c r="L56" i="3"/>
  <c r="K56" i="3"/>
  <c r="N56" i="3" s="1"/>
  <c r="M55" i="3"/>
  <c r="L55" i="3"/>
  <c r="K55" i="3"/>
  <c r="N55" i="3" s="1"/>
  <c r="M54" i="3"/>
  <c r="L54" i="3"/>
  <c r="K54" i="3"/>
  <c r="N54" i="3" s="1"/>
  <c r="M53" i="3"/>
  <c r="L53" i="3"/>
  <c r="N53" i="3"/>
  <c r="M52" i="3"/>
  <c r="L52" i="3"/>
  <c r="K52" i="3"/>
  <c r="N52" i="3" s="1"/>
  <c r="M51" i="3"/>
  <c r="L51" i="3"/>
  <c r="K51" i="3"/>
  <c r="N51" i="3" s="1"/>
  <c r="M50" i="3"/>
  <c r="L50" i="3"/>
  <c r="K50" i="3"/>
  <c r="N50" i="3" s="1"/>
  <c r="M49" i="3"/>
  <c r="L49" i="3"/>
  <c r="K49" i="3"/>
  <c r="N49" i="3" s="1"/>
  <c r="L48" i="3"/>
  <c r="K48" i="3"/>
  <c r="N48" i="3" s="1"/>
  <c r="M47" i="3"/>
  <c r="L47" i="3"/>
  <c r="K47" i="3"/>
  <c r="N47" i="3" s="1"/>
  <c r="M46" i="3"/>
  <c r="L46" i="3"/>
  <c r="K46" i="3"/>
  <c r="N46" i="3" s="1"/>
  <c r="M45" i="3"/>
  <c r="L45" i="3"/>
  <c r="K45" i="3"/>
  <c r="N45" i="3" s="1"/>
  <c r="M44" i="3"/>
  <c r="L44" i="3"/>
  <c r="K44" i="3"/>
  <c r="N44" i="3" s="1"/>
  <c r="M39" i="3"/>
  <c r="L39" i="3"/>
  <c r="K39" i="3"/>
  <c r="N39" i="3" s="1"/>
  <c r="M38" i="3"/>
  <c r="L38" i="3"/>
  <c r="K38" i="3"/>
  <c r="N38" i="3" s="1"/>
  <c r="M37" i="3"/>
  <c r="L37" i="3"/>
  <c r="K37" i="3"/>
  <c r="N37" i="3" s="1"/>
  <c r="M36" i="3"/>
  <c r="L36" i="3"/>
  <c r="K36" i="3"/>
  <c r="N36" i="3" s="1"/>
  <c r="M35" i="3"/>
  <c r="L35" i="3"/>
  <c r="K35" i="3"/>
  <c r="N35" i="3" s="1"/>
  <c r="M34" i="3"/>
  <c r="L34" i="3"/>
  <c r="K34" i="3"/>
  <c r="N34" i="3" s="1"/>
  <c r="N33" i="3"/>
  <c r="M33" i="3"/>
  <c r="L33" i="3"/>
  <c r="K33" i="3"/>
  <c r="N32" i="3"/>
  <c r="M32" i="3"/>
  <c r="L32" i="3"/>
  <c r="K32" i="3"/>
  <c r="N31" i="3"/>
  <c r="M31" i="3"/>
  <c r="L31" i="3"/>
  <c r="K31" i="3"/>
  <c r="M30" i="3"/>
  <c r="L30" i="3"/>
  <c r="K30" i="3"/>
  <c r="N30" i="3" s="1"/>
  <c r="M29" i="3"/>
  <c r="L29" i="3"/>
  <c r="K29" i="3"/>
  <c r="N29" i="3" s="1"/>
  <c r="N28" i="3"/>
  <c r="M28" i="3"/>
  <c r="L28" i="3"/>
  <c r="K28" i="3"/>
  <c r="M27" i="3"/>
  <c r="L27" i="3"/>
  <c r="K27" i="3"/>
  <c r="N27" i="3" s="1"/>
  <c r="M22" i="3"/>
  <c r="L22" i="3"/>
  <c r="K22" i="3"/>
  <c r="N22" i="3" s="1"/>
  <c r="M21" i="3"/>
  <c r="L21" i="3"/>
  <c r="K21" i="3"/>
  <c r="N21" i="3" s="1"/>
  <c r="M20" i="3"/>
  <c r="L20" i="3"/>
  <c r="K20" i="3"/>
  <c r="N20" i="3" s="1"/>
  <c r="M19" i="3"/>
  <c r="L19" i="3"/>
  <c r="K19" i="3"/>
  <c r="N19" i="3" s="1"/>
  <c r="M18" i="3"/>
  <c r="L18" i="3"/>
  <c r="K18" i="3"/>
  <c r="N18" i="3" s="1"/>
  <c r="M17" i="3"/>
  <c r="L17" i="3"/>
  <c r="K17" i="3"/>
  <c r="N17" i="3" s="1"/>
  <c r="N16" i="3"/>
  <c r="M16" i="3"/>
  <c r="L16" i="3"/>
  <c r="K16" i="3"/>
  <c r="N15" i="3"/>
  <c r="M15" i="3"/>
  <c r="L15" i="3"/>
  <c r="K15" i="3"/>
  <c r="M14" i="3"/>
  <c r="L14" i="3"/>
  <c r="K14" i="3"/>
  <c r="N14" i="3" s="1"/>
  <c r="N13" i="3"/>
  <c r="M13" i="3"/>
  <c r="L13" i="3"/>
  <c r="K13" i="3"/>
  <c r="M12" i="3"/>
  <c r="L12" i="3"/>
  <c r="K12" i="3"/>
  <c r="N12" i="3" s="1"/>
  <c r="N11" i="3"/>
  <c r="M11" i="3"/>
  <c r="L11" i="3"/>
  <c r="K11" i="3"/>
  <c r="N10" i="3"/>
  <c r="M10" i="3"/>
  <c r="L10" i="3"/>
  <c r="K10" i="3"/>
  <c r="Q4" i="3"/>
  <c r="Q3" i="3"/>
  <c r="Q5" i="3" s="1"/>
  <c r="K53" i="2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B27" i="3" l="1"/>
  <c r="B29" i="3"/>
  <c r="B50" i="3"/>
  <c r="B10" i="3"/>
  <c r="B33" i="3"/>
  <c r="B56" i="3"/>
  <c r="B16" i="3"/>
  <c r="B39" i="3"/>
  <c r="B22" i="3"/>
  <c r="B49" i="3"/>
  <c r="B15" i="3"/>
  <c r="B34" i="3"/>
  <c r="B32" i="3"/>
  <c r="B46" i="3"/>
  <c r="B44" i="3"/>
  <c r="B55" i="3"/>
  <c r="B38" i="3"/>
  <c r="B31" i="3"/>
  <c r="B21" i="3"/>
  <c r="B17" i="3"/>
  <c r="B48" i="3"/>
  <c r="B54" i="3"/>
  <c r="B14" i="3"/>
  <c r="B37" i="3"/>
  <c r="B20" i="3"/>
  <c r="B36" i="3"/>
  <c r="B19" i="3"/>
  <c r="B18" i="3"/>
  <c r="B47" i="3"/>
  <c r="B30" i="3"/>
  <c r="B12" i="3"/>
  <c r="B35" i="3"/>
  <c r="B53" i="3"/>
  <c r="B13" i="3"/>
  <c r="B52" i="3"/>
  <c r="B45" i="3"/>
  <c r="B28" i="3"/>
  <c r="B11" i="3"/>
  <c r="B51" i="3"/>
  <c r="M11" i="2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<sst xmlns="http://schemas.openxmlformats.org/spreadsheetml/2006/main" count="165" uniqueCount="46">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</sst>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1" fontId="5" fillId="0" borderId="0" xfId="0" applyNumberFormat="1" applyFont="1"/>
    <xf numFmtId="11" fontId="5" fillId="4" borderId="0" xfId="0" applyNumberFormat="1" applyFont="1" applyFill="1"/>
    <xf numFmtId="0" fontId="0" fillId="0" borderId="0" xfId="0" applyNumberFormat="1"/>
    <xf numFmtId="0" fontId="0" fillId="4" borderId="0" xfId="0" applyNumberFormat="1" applyFill="1"/>
    <xf numFmtId="11" fontId="3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TBR!$A$44:$A$56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TBR!$M$44:$M$56</c:f>
              <c:numCache>
                <c:formatCode>0.000</c:formatCode>
                <c:ptCount val="13"/>
                <c:pt idx="0">
                  <c:v>0.98215385902659358</c:v>
                </c:pt>
                <c:pt idx="1">
                  <c:v>0.98203818000196974</c:v>
                </c:pt>
                <c:pt idx="2">
                  <c:v>0.98233124644332637</c:v>
                </c:pt>
                <c:pt idx="3">
                  <c:v>0.98414421045326572</c:v>
                </c:pt>
                <c:pt idx="4">
                  <c:v>0.98620843151639703</c:v>
                </c:pt>
                <c:pt idx="5">
                  <c:v>0.9879632515229031</c:v>
                </c:pt>
                <c:pt idx="6">
                  <c:v>0.98890099734312431</c:v>
                </c:pt>
                <c:pt idx="7">
                  <c:v>0.99111928758233259</c:v>
                </c:pt>
                <c:pt idx="8">
                  <c:v>0.9920968502601536</c:v>
                </c:pt>
                <c:pt idx="9">
                  <c:v>0.99638513194317113</c:v>
                </c:pt>
                <c:pt idx="10">
                  <c:v>1.0083240032099037</c:v>
                </c:pt>
                <c:pt idx="11">
                  <c:v>1.0206371812187167</c:v>
                </c:pt>
                <c:pt idx="12">
                  <c:v>1.0391633324972136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09-422B-8CA4-59B504B45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5515999"/>
        <c:axId val="1455516479"/>
      </c:scatterChart>
      <c:valAx>
        <c:axId val="14555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516479"/>
        <c:crosses val="autoZero"/>
        <c:crossBetween val="midCat"/>
      </c:valAx>
      <c:valAx>
        <c:axId val="145551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51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8.4565179352580927E-2"/>
                  <c:y val="-0.491782225138524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TBR!$A$44:$A$56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TBR!$J$44:$J$56</c:f>
              <c:numCache>
                <c:formatCode>General</c:formatCode>
                <c:ptCount val="13"/>
                <c:pt idx="0">
                  <c:v>1.3791474000000001</c:v>
                </c:pt>
                <c:pt idx="1">
                  <c:v>1.3790180999999999</c:v>
                </c:pt>
                <c:pt idx="2">
                  <c:v>1.3789032000000001</c:v>
                </c:pt>
                <c:pt idx="3">
                  <c:v>1.375659</c:v>
                </c:pt>
                <c:pt idx="4">
                  <c:v>1.3743595</c:v>
                </c:pt>
                <c:pt idx="5">
                  <c:v>1.3686853999999999</c:v>
                </c:pt>
                <c:pt idx="6">
                  <c:v>1.3632628</c:v>
                </c:pt>
                <c:pt idx="7">
                  <c:v>1.357774</c:v>
                </c:pt>
                <c:pt idx="8">
                  <c:v>1.3511147999999999</c:v>
                </c:pt>
                <c:pt idx="9">
                  <c:v>1.3364325000000001</c:v>
                </c:pt>
                <c:pt idx="10">
                  <c:v>1.3004206</c:v>
                </c:pt>
                <c:pt idx="11">
                  <c:v>1.2678955999999999</c:v>
                </c:pt>
                <c:pt idx="12">
                  <c:v>1.2406356999999999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E4-441D-98AC-D137F4692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1295039"/>
        <c:axId val="1241295999"/>
      </c:scatterChart>
      <c:valAx>
        <c:axId val="1241295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295999"/>
        <c:crosses val="autoZero"/>
        <c:crossBetween val="midCat"/>
      </c:valAx>
      <c:valAx>
        <c:axId val="124129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29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556260</xdr:colOff>
      <xdr:row>29</xdr:row>
      <xdr:rowOff>83820</xdr:rowOff>
    </xdr:from>
    <xdr:to>
      <xdr:col>24</xdr:col>
      <xdr:colOff>251460</xdr:colOff>
      <xdr:row>44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2F2290-4DFB-6B45-BBE8-ACC4588AD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586740</xdr:colOff>
      <xdr:row>29</xdr:row>
      <xdr:rowOff>83820</xdr:rowOff>
    </xdr:from>
    <xdr:to>
      <xdr:col>16</xdr:col>
      <xdr:colOff>426720</xdr:colOff>
      <xdr:row>44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A11E85-7399-8880-3D0C-FAFB94344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56"/>
  <sheetViews>
    <sheetView zoomScale="130" zoomScaleNormal="130" workbookViewId="0">
      <selection activeCell="E34" sqref="E34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11">
        <f t="shared" ref="L27:L39" si="6">I27/H27</f>
        <v>0.62980105333714986</v>
      </c>
      <c r="M27" s="11">
        <f t="shared" ref="M27:M39" si="7">J27/H27</f>
        <v>0.63813897776495931</v>
      </c>
      <c r="N27" s="1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11">
        <f t="shared" si="6"/>
        <v>0.94246398594536107</v>
      </c>
      <c r="M39" s="11">
        <f t="shared" si="7"/>
        <v>0.85681966957018219</v>
      </c>
      <c r="N39" s="1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2.1398000000000001E-5</v>
      </c>
      <c r="K44" s="29">
        <f t="shared" ref="K44:K52" si="11">P44*$T$4*$W$3*1E-24</f>
        <v>2.0412221199999998E-5</v>
      </c>
      <c r="L44" s="11" t="e">
        <f>I44/H44</f>
        <v>#VALUE!</v>
      </c>
      <c r="M44" s="11">
        <f>J44/H44</f>
        <v>0.60664708230623576</v>
      </c>
      <c r="N44" s="11">
        <f t="shared" ref="N44:N56" si="12">K44/H44</f>
        <v>0.57869961839281658</v>
      </c>
      <c r="O44" s="4"/>
      <c r="P44" s="29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1.0739300000000001E-4</v>
      </c>
      <c r="K45" s="30">
        <f t="shared" si="11"/>
        <v>1.0768492699999999E-4</v>
      </c>
      <c r="L45" s="9" t="e">
        <f t="shared" ref="L45:L56" si="13">I45/H45</f>
        <v>#VALUE!</v>
      </c>
      <c r="M45" s="9">
        <f t="shared" ref="M45:M56" si="14">J45/H45</f>
        <v>0.60988163769499404</v>
      </c>
      <c r="N45" s="9">
        <f t="shared" si="12"/>
        <v>0.61153948240412204</v>
      </c>
      <c r="O45" s="4"/>
      <c r="P45" s="30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3.2153200000000002E-4</v>
      </c>
      <c r="K46" s="29">
        <f t="shared" si="11"/>
        <v>2.97874367E-4</v>
      </c>
      <c r="L46" s="11" t="e">
        <f t="shared" si="13"/>
        <v>#VALUE!</v>
      </c>
      <c r="M46" s="11">
        <f t="shared" si="14"/>
        <v>0.61029455715651293</v>
      </c>
      <c r="N46" s="11">
        <f t="shared" si="12"/>
        <v>0.56539039627950438</v>
      </c>
      <c r="O46" s="4"/>
      <c r="P46" s="29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3.2092700000000002E-3</v>
      </c>
      <c r="K47" s="30">
        <f t="shared" si="11"/>
        <v>2.5144030799999998E-3</v>
      </c>
      <c r="L47" s="9">
        <f t="shared" si="13"/>
        <v>0.57317500842490199</v>
      </c>
      <c r="M47" s="9">
        <f t="shared" si="14"/>
        <v>0.63861511357334044</v>
      </c>
      <c r="N47" s="9">
        <f t="shared" si="12"/>
        <v>0.50034300900309314</v>
      </c>
      <c r="O47" s="4"/>
      <c r="P47" s="30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6.3941700000000002E-3</v>
      </c>
      <c r="K48" s="29">
        <f t="shared" si="11"/>
        <v>5.1434879999999999E-3</v>
      </c>
      <c r="L48" s="11">
        <f t="shared" si="13"/>
        <v>0.59384093777377001</v>
      </c>
      <c r="M48" s="11">
        <f t="shared" si="14"/>
        <v>0.66538860290064994</v>
      </c>
      <c r="N48" s="11">
        <f t="shared" si="12"/>
        <v>0.53524042907152269</v>
      </c>
      <c r="O48" s="4"/>
      <c r="P48" s="29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1.24683E-2</v>
      </c>
      <c r="K49" s="30">
        <f t="shared" si="11"/>
        <v>1.25591816E-2</v>
      </c>
      <c r="L49" s="9">
        <f t="shared" si="13"/>
        <v>0.6313974096041497</v>
      </c>
      <c r="M49" s="9">
        <f t="shared" si="14"/>
        <v>0.69437286193317926</v>
      </c>
      <c r="N49" s="9">
        <f t="shared" si="12"/>
        <v>0.69943415470677839</v>
      </c>
      <c r="O49" s="4"/>
      <c r="P49" s="30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1.86032E-2</v>
      </c>
      <c r="K50" s="29">
        <f t="shared" si="11"/>
        <v>1.8564839299999997E-2</v>
      </c>
      <c r="L50" s="11">
        <f t="shared" si="13"/>
        <v>0.65692204236396967</v>
      </c>
      <c r="M50" s="11">
        <f t="shared" si="14"/>
        <v>0.7303487224871601</v>
      </c>
      <c r="N50" s="11">
        <f t="shared" si="12"/>
        <v>0.72884270802520112</v>
      </c>
      <c r="O50" s="4"/>
      <c r="P50" s="29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2.4458799999999999E-2</v>
      </c>
      <c r="K51" s="30">
        <f t="shared" si="11"/>
        <v>2.4434994500000001E-2</v>
      </c>
      <c r="L51" s="9">
        <f t="shared" si="13"/>
        <v>0.6759991807004968</v>
      </c>
      <c r="M51" s="9">
        <f t="shared" si="14"/>
        <v>0.75449039033495524</v>
      </c>
      <c r="N51" s="9">
        <f t="shared" si="12"/>
        <v>0.75375605255112621</v>
      </c>
      <c r="O51" s="4"/>
      <c r="P51" s="30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2.9931300000000001E-2</v>
      </c>
      <c r="K52" s="29">
        <f t="shared" si="11"/>
        <v>3.0129525999999997E-2</v>
      </c>
      <c r="L52" s="11">
        <f t="shared" si="13"/>
        <v>0.69767383206021083</v>
      </c>
      <c r="M52" s="11">
        <f t="shared" si="14"/>
        <v>0.76638425008785249</v>
      </c>
      <c r="N52" s="11">
        <f t="shared" si="12"/>
        <v>0.77145978253575531</v>
      </c>
      <c r="O52" s="4"/>
      <c r="P52" s="29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>
        <v>4.8447299999999999E-2</v>
      </c>
      <c r="K53" s="30">
        <f>P53*$T$5*$W$3*1E-24+0.008</f>
        <v>4.7207570499999997E-2</v>
      </c>
      <c r="L53" s="9">
        <f t="shared" si="13"/>
        <v>0.73824255980055342</v>
      </c>
      <c r="M53" s="9">
        <f t="shared" si="14"/>
        <v>0.82137283592286769</v>
      </c>
      <c r="N53" s="9">
        <f t="shared" si="12"/>
        <v>0.80035453077083152</v>
      </c>
      <c r="O53" s="4"/>
      <c r="P53" s="30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>
        <v>8.9392399999999997E-2</v>
      </c>
      <c r="K54" s="29">
        <f>P54*$T$4*$W$3*1E-24</f>
        <v>8.9221698999999988E-2</v>
      </c>
      <c r="L54" s="11">
        <f t="shared" si="13"/>
        <v>0.77326641589705314</v>
      </c>
      <c r="M54" s="11">
        <f t="shared" si="14"/>
        <v>0.86290194261690956</v>
      </c>
      <c r="N54" s="11">
        <f t="shared" si="12"/>
        <v>0.86125417139131699</v>
      </c>
      <c r="O54" s="4"/>
      <c r="P54" s="29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>
        <v>0.12684899999999999</v>
      </c>
      <c r="K55" s="30">
        <f>P55*$T$4*$W$3*1E-24</f>
        <v>0.126647801</v>
      </c>
      <c r="L55" s="9">
        <f t="shared" si="13"/>
        <v>0.78958989032341698</v>
      </c>
      <c r="M55" s="9">
        <f t="shared" si="14"/>
        <v>0.87364962839429117</v>
      </c>
      <c r="N55" s="9">
        <f t="shared" si="12"/>
        <v>0.87226390653930375</v>
      </c>
      <c r="O55" s="4"/>
      <c r="P55" s="30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>
        <v>0.162772</v>
      </c>
      <c r="K56" s="29">
        <f>P56*$T$4*$W$3*1E-24</f>
        <v>0.16153143999999997</v>
      </c>
      <c r="L56" s="11">
        <f t="shared" si="13"/>
        <v>0</v>
      </c>
      <c r="M56" s="11">
        <f t="shared" si="14"/>
        <v>0.87549435816244625</v>
      </c>
      <c r="N56" s="11">
        <f t="shared" si="12"/>
        <v>0.86882181447580464</v>
      </c>
      <c r="O56" s="4"/>
      <c r="P56" s="29">
        <v>25928</v>
      </c>
    </row>
  </sheetData>
  <pageMargins left="0.7" right="0.7" top="0.75" bottom="0.75" header="0.3" footer="0.3"/>
  <ignoredErrors>
    <ignoredError sqref="K5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W56"/>
  <sheetViews>
    <sheetView tabSelected="1" topLeftCell="A22" workbookViewId="0">
      <selection activeCell="R61" sqref="R61"/>
    </sheetView>
  </sheetViews>
  <sheetFormatPr defaultRowHeight="14.4" x14ac:dyDescent="0.3"/>
  <cols>
    <col min="1" max="1" width="12.3320312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11">
        <f t="shared" ref="L27:L39" si="6">I27/H27</f>
        <v>0.62980105333714986</v>
      </c>
      <c r="M27" s="11">
        <f t="shared" ref="M27:M39" si="7">J27/H27</f>
        <v>0.63813897776495931</v>
      </c>
      <c r="N27" s="1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11">
        <f t="shared" si="6"/>
        <v>0.94246398594536107</v>
      </c>
      <c r="M39" s="11">
        <f t="shared" si="7"/>
        <v>0.85681966957018219</v>
      </c>
      <c r="N39" s="1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>
        <v>1.40420707746021</v>
      </c>
      <c r="I44" s="20"/>
      <c r="J44" s="31">
        <f>1.36234+0.0168074</f>
        <v>1.3791474000000001</v>
      </c>
      <c r="K44" s="29">
        <f t="shared" ref="K44:K53" si="11">P44*$T$4*$W$3*1E-24</f>
        <v>1.3430197899999997E-8</v>
      </c>
      <c r="L44" s="11">
        <f>I44/H44</f>
        <v>0</v>
      </c>
      <c r="M44" s="11">
        <f>J44/H44</f>
        <v>0.98215385902659358</v>
      </c>
      <c r="N44" s="11">
        <f t="shared" ref="N44:N56" si="12">K44/H44</f>
        <v>9.5642573774027705E-9</v>
      </c>
      <c r="O44" s="4"/>
      <c r="P44" s="29">
        <v>2.1557299999999998E-3</v>
      </c>
      <c r="Q44" s="2"/>
    </row>
    <row r="45" spans="1:19" s="4" customFormat="1" x14ac:dyDescent="0.3">
      <c r="A45" s="4">
        <v>0.5</v>
      </c>
      <c r="B45" s="9">
        <f t="shared" si="10"/>
        <v>0.20148367752532464</v>
      </c>
      <c r="C45" s="10">
        <v>1.055E-2</v>
      </c>
      <c r="E45" s="6">
        <v>10.636900000000001</v>
      </c>
      <c r="F45" s="6">
        <v>13.302942</v>
      </c>
      <c r="G45" s="5"/>
      <c r="H45" s="4">
        <v>1.4042408208581401</v>
      </c>
      <c r="I45" s="33"/>
      <c r="J45" s="32">
        <f>1.36221+0.0168081</f>
        <v>1.3790180999999999</v>
      </c>
      <c r="K45" s="30">
        <f t="shared" si="11"/>
        <v>6.7190549999999991E-8</v>
      </c>
      <c r="L45" s="9">
        <f t="shared" ref="L45:L56" si="13">I45/H45</f>
        <v>0</v>
      </c>
      <c r="M45" s="9">
        <f t="shared" ref="M45:M56" si="14">J45/H45</f>
        <v>0.98203818000196974</v>
      </c>
      <c r="N45" s="9">
        <f t="shared" si="12"/>
        <v>4.7848309920900489E-8</v>
      </c>
      <c r="P45" s="30">
        <v>1.0784999999999999E-2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>
        <v>1.4037049162311801</v>
      </c>
      <c r="I46" s="20"/>
      <c r="J46" s="31">
        <f>1.3621+ 0.0168032</f>
        <v>1.3789032000000001</v>
      </c>
      <c r="K46" s="29">
        <f t="shared" si="11"/>
        <v>2.01536762E-7</v>
      </c>
      <c r="L46" s="11">
        <f t="shared" si="13"/>
        <v>0</v>
      </c>
      <c r="M46" s="11">
        <f t="shared" si="14"/>
        <v>0.98233124644332637</v>
      </c>
      <c r="N46" s="11">
        <f t="shared" si="12"/>
        <v>1.4357487793168658E-7</v>
      </c>
      <c r="O46" s="4"/>
      <c r="P46" s="29">
        <v>3.23494E-2</v>
      </c>
      <c r="Q46" s="2"/>
    </row>
    <row r="47" spans="1:19" s="4" customFormat="1" x14ac:dyDescent="0.3">
      <c r="A47" s="4">
        <v>15</v>
      </c>
      <c r="B47" s="9">
        <f t="shared" si="10"/>
        <v>6.044510325759739</v>
      </c>
      <c r="C47" s="10">
        <v>0.31649699999999997</v>
      </c>
      <c r="E47" s="6">
        <v>1.9420230000000001</v>
      </c>
      <c r="F47" s="6">
        <v>2.4287740000000002</v>
      </c>
      <c r="G47" s="5"/>
      <c r="H47" s="4">
        <v>1.3978225806626601</v>
      </c>
      <c r="I47" s="33"/>
      <c r="J47" s="32">
        <f>1.35891+ 0.016749</f>
        <v>1.375659</v>
      </c>
      <c r="K47" s="30">
        <f t="shared" si="11"/>
        <v>2.0174608999999998E-6</v>
      </c>
      <c r="L47" s="9">
        <f t="shared" si="13"/>
        <v>0</v>
      </c>
      <c r="M47" s="9">
        <f t="shared" si="14"/>
        <v>0.98414421045326572</v>
      </c>
      <c r="N47" s="9">
        <f t="shared" si="12"/>
        <v>1.4432882455251154E-6</v>
      </c>
      <c r="P47" s="30">
        <v>0.32383000000000001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>
        <v>1.3935791421766499</v>
      </c>
      <c r="I48" s="16"/>
      <c r="J48" s="31">
        <f>1.35765 + 0.0167095</f>
        <v>1.3743595</v>
      </c>
      <c r="K48" s="29">
        <f t="shared" si="11"/>
        <v>4.0416128199999999E-6</v>
      </c>
      <c r="L48" s="11">
        <f t="shared" si="13"/>
        <v>0</v>
      </c>
      <c r="M48" s="11">
        <f t="shared" si="14"/>
        <v>0.98620843151639703</v>
      </c>
      <c r="N48" s="11">
        <f t="shared" si="12"/>
        <v>2.9001674161736885E-6</v>
      </c>
      <c r="O48" s="4"/>
      <c r="P48" s="29">
        <v>0.64873400000000003</v>
      </c>
      <c r="Q48" s="2"/>
    </row>
    <row r="49" spans="1:17" s="4" customFormat="1" x14ac:dyDescent="0.3">
      <c r="A49" s="4">
        <v>60</v>
      </c>
      <c r="B49" s="9">
        <f t="shared" si="10"/>
        <v>24.178041303038956</v>
      </c>
      <c r="C49" s="10">
        <v>1.265987</v>
      </c>
      <c r="E49" s="6">
        <v>0.97101199999999999</v>
      </c>
      <c r="F49" s="6">
        <v>1.2143870000000001</v>
      </c>
      <c r="G49" s="5"/>
      <c r="H49" s="4">
        <v>1.38536063754419</v>
      </c>
      <c r="I49" s="17"/>
      <c r="J49" s="32">
        <f>1.35209 + 0.0165954</f>
        <v>1.3686853999999999</v>
      </c>
      <c r="K49" s="30">
        <f t="shared" si="11"/>
        <v>8.1020526999999998E-6</v>
      </c>
      <c r="L49" s="9">
        <f t="shared" si="13"/>
        <v>0</v>
      </c>
      <c r="M49" s="9">
        <f t="shared" si="14"/>
        <v>0.9879632515229031</v>
      </c>
      <c r="N49" s="9">
        <f t="shared" si="12"/>
        <v>5.8483347082550277E-6</v>
      </c>
      <c r="P49" s="30">
        <v>1.3004899999999999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>
        <v>1.37856347972413</v>
      </c>
      <c r="I50" s="16"/>
      <c r="J50" s="31">
        <f>1.34678 +0.0164828</f>
        <v>1.3632628</v>
      </c>
      <c r="K50" s="29">
        <f t="shared" si="11"/>
        <v>1.21776564E-5</v>
      </c>
      <c r="L50" s="11">
        <f t="shared" si="13"/>
        <v>0</v>
      </c>
      <c r="M50" s="11">
        <f t="shared" si="14"/>
        <v>0.98890099734312431</v>
      </c>
      <c r="N50" s="11">
        <f t="shared" si="12"/>
        <v>8.8335840743706049E-6</v>
      </c>
      <c r="O50" s="4"/>
      <c r="P50" s="29">
        <v>1.95468</v>
      </c>
      <c r="Q50" s="2"/>
    </row>
    <row r="51" spans="1:17" s="4" customFormat="1" x14ac:dyDescent="0.3">
      <c r="A51" s="4">
        <v>120</v>
      </c>
      <c r="B51" s="9">
        <f t="shared" si="10"/>
        <v>48.356082606077912</v>
      </c>
      <c r="C51" s="10">
        <v>2.5319750000000001</v>
      </c>
      <c r="E51" s="6">
        <v>0.68660900000000002</v>
      </c>
      <c r="F51" s="6">
        <v>0.85870100000000005</v>
      </c>
      <c r="G51" s="5"/>
      <c r="H51" s="4">
        <v>1.3699400435562701</v>
      </c>
      <c r="I51" s="17"/>
      <c r="J51" s="32">
        <f>1.34139 + 0.016384</f>
        <v>1.357774</v>
      </c>
      <c r="K51" s="30">
        <f t="shared" si="11"/>
        <v>1.6280859E-5</v>
      </c>
      <c r="L51" s="9">
        <f t="shared" si="13"/>
        <v>0</v>
      </c>
      <c r="M51" s="9">
        <f t="shared" si="14"/>
        <v>0.99111928758233259</v>
      </c>
      <c r="N51" s="9">
        <f t="shared" si="12"/>
        <v>1.1884358791159948E-5</v>
      </c>
      <c r="P51" s="30">
        <v>2.6133000000000002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>
        <v>1.3618779251700099</v>
      </c>
      <c r="I52" s="16"/>
      <c r="J52" s="31">
        <f xml:space="preserve"> 1.33482 + 0.0162948</f>
        <v>1.3511147999999999</v>
      </c>
      <c r="K52" s="29">
        <f t="shared" si="11"/>
        <v>2.0403748399999997E-5</v>
      </c>
      <c r="L52" s="11">
        <f t="shared" si="13"/>
        <v>0</v>
      </c>
      <c r="M52" s="11">
        <f t="shared" si="14"/>
        <v>0.9920968502601536</v>
      </c>
      <c r="N52" s="11">
        <f t="shared" si="12"/>
        <v>1.4982068526775552E-5</v>
      </c>
      <c r="O52" s="4"/>
      <c r="P52" s="29">
        <v>3.27508</v>
      </c>
      <c r="Q52" s="2"/>
    </row>
    <row r="53" spans="1:17" s="4" customFormat="1" x14ac:dyDescent="0.3">
      <c r="A53" s="4">
        <v>250</v>
      </c>
      <c r="B53" s="9">
        <f t="shared" si="10"/>
        <v>100.74183876266233</v>
      </c>
      <c r="C53" s="10">
        <v>5.2749480000000002</v>
      </c>
      <c r="E53" s="6">
        <v>0.47569699999999998</v>
      </c>
      <c r="F53" s="6">
        <v>0.59492599999999995</v>
      </c>
      <c r="G53" s="5"/>
      <c r="H53" s="4">
        <v>1.34128105403747</v>
      </c>
      <c r="I53" s="17"/>
      <c r="J53" s="32">
        <f>1.32048+0.0159525</f>
        <v>1.3364325000000001</v>
      </c>
      <c r="K53" s="30">
        <f t="shared" si="11"/>
        <v>3.4383432299999996E-5</v>
      </c>
      <c r="L53" s="9">
        <f t="shared" si="13"/>
        <v>0</v>
      </c>
      <c r="M53" s="9">
        <f t="shared" si="14"/>
        <v>0.99638513194317113</v>
      </c>
      <c r="N53" s="9">
        <f t="shared" si="12"/>
        <v>2.5634770726463613E-5</v>
      </c>
      <c r="P53" s="30">
        <v>5.5190099999999997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>
        <v>1.2896852557910301</v>
      </c>
      <c r="I54" s="16"/>
      <c r="J54" s="31">
        <f>1.28524+ 0.0151806</f>
        <v>1.3004206</v>
      </c>
      <c r="K54" s="29">
        <f>P54*$T$4*$W$3*1E-24</f>
        <v>7.059213E-5</v>
      </c>
      <c r="L54" s="11">
        <f t="shared" si="13"/>
        <v>0</v>
      </c>
      <c r="M54" s="11">
        <f t="shared" si="14"/>
        <v>1.0083240032099037</v>
      </c>
      <c r="N54" s="11">
        <f t="shared" si="12"/>
        <v>5.473593629377598E-5</v>
      </c>
      <c r="O54" s="4"/>
      <c r="P54" s="29">
        <v>11.331</v>
      </c>
      <c r="Q54" s="2"/>
    </row>
    <row r="55" spans="1:17" s="4" customFormat="1" x14ac:dyDescent="0.3">
      <c r="A55" s="4">
        <v>750</v>
      </c>
      <c r="B55" s="9">
        <f t="shared" si="10"/>
        <v>302.22551628798698</v>
      </c>
      <c r="C55" s="10">
        <v>15.824844000000001</v>
      </c>
      <c r="E55" s="6">
        <v>0.274644</v>
      </c>
      <c r="F55" s="6">
        <v>0.34348000000000001</v>
      </c>
      <c r="G55" s="5"/>
      <c r="H55" s="4">
        <v>1.24225887840578</v>
      </c>
      <c r="I55" s="17"/>
      <c r="J55" s="32">
        <f xml:space="preserve"> 1.25348 + 0.0144156</f>
        <v>1.2678955999999999</v>
      </c>
      <c r="K55" s="30">
        <f>P55*$T$4*$W$3*1E-24</f>
        <v>1.09394439E-4</v>
      </c>
      <c r="L55" s="9">
        <f t="shared" si="13"/>
        <v>0</v>
      </c>
      <c r="M55" s="9">
        <f t="shared" si="14"/>
        <v>1.0206371812187167</v>
      </c>
      <c r="N55" s="9">
        <f t="shared" si="12"/>
        <v>8.8060903328288914E-5</v>
      </c>
      <c r="P55" s="30">
        <v>17.5593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>
        <v>1.1938794039418501</v>
      </c>
      <c r="I56" s="16"/>
      <c r="J56" s="31">
        <f xml:space="preserve"> 1.22694+ 0.0136957</f>
        <v>1.2406356999999999</v>
      </c>
      <c r="K56" s="29">
        <f>P56*$T$4*$W$3*1E-24</f>
        <v>1.5084512099999999E-4</v>
      </c>
      <c r="L56" s="11">
        <f t="shared" si="13"/>
        <v>0</v>
      </c>
      <c r="M56" s="11">
        <f t="shared" si="14"/>
        <v>1.0391633324972136</v>
      </c>
      <c r="N56" s="11">
        <f t="shared" si="12"/>
        <v>1.263487086735497E-4</v>
      </c>
      <c r="O56" s="4"/>
      <c r="P56" s="29">
        <v>24.212700000000002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Fissile production</vt:lpstr>
      <vt:lpstr>TBR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2026-01-27T15:24:41Z</dcterms:modified>
</cp:coreProperties>
</file>