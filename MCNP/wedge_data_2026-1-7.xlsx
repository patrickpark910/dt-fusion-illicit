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zoc\Downloads\"/>
    </mc:Choice>
  </mc:AlternateContent>
  <xr:revisionPtr revIDLastSave="0" documentId="8_{576A937F-E9F0-489D-B799-5A94D1155D7F}" xr6:coauthVersionLast="47" xr6:coauthVersionMax="47" xr10:uidLastSave="{00000000-0000-0000-0000-000000000000}"/>
  <bookViews>
    <workbookView xWindow="2408" yWindow="1455" windowWidth="14400" windowHeight="13058" xr2:uid="{6B61B138-CA7E-4D34-AE30-42FD6FAA2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 a="1"/>
  <c r="M41" i="1" s="1"/>
  <c r="N41" i="1" a="1"/>
  <c r="N41" i="1" s="1"/>
  <c r="L41" i="1" a="1"/>
  <c r="L41" i="1" s="1"/>
  <c r="L9" i="1" a="1"/>
  <c r="L9" i="1" s="1"/>
  <c r="M9" i="1" a="1"/>
  <c r="M9" i="1"/>
  <c r="N9" i="1" a="1"/>
  <c r="N9" i="1"/>
  <c r="L25" i="1" a="1"/>
  <c r="L25" i="1"/>
  <c r="M25" i="1" a="1"/>
  <c r="M25" i="1" s="1"/>
  <c r="N25" i="1" a="1"/>
  <c r="N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<sst xmlns="http://schemas.openxmlformats.org/spreadsheetml/2006/main" count="85" uniqueCount="67">
  <si>
    <t>The MCNP reaction rate is R = N σ  ϕ = (at/b/cm) (b/at) (1/cm2/src-n) = rxns/cm3/src-n</t>
  </si>
  <si>
    <t>VARIABLES</t>
  </si>
  <si>
    <t>What MCNP tallies (green) give you are σ ϕ so this spreadsheet is to multiply by N</t>
  </si>
  <si>
    <t>Name</t>
  </si>
  <si>
    <t>Value</t>
  </si>
  <si>
    <t>I just multiply by the number of U-238 atoms in the whole system</t>
  </si>
  <si>
    <t>V_uo2</t>
  </si>
  <si>
    <t>So my results (gold) are the total number of U-238 (n,g) reactions in the model per src-n</t>
  </si>
  <si>
    <t>V_biso</t>
  </si>
  <si>
    <t>This is so I don't have to bother normalizing by different U-containing volumes between A, B, and C</t>
  </si>
  <si>
    <t>F1</t>
  </si>
  <si>
    <t>RESULTS</t>
  </si>
  <si>
    <t>HELPERS</t>
  </si>
  <si>
    <t>Rate [rxns/src-n]</t>
  </si>
  <si>
    <t>Factor change</t>
  </si>
  <si>
    <t>MCNP raw  [b/at]*[1/cm2/src-n]</t>
  </si>
  <si>
    <t>Fertile kg/m3</t>
  </si>
  <si>
    <t>BISO/cm3</t>
  </si>
  <si>
    <t>BISO vol%</t>
  </si>
  <si>
    <t>b1 [cm]</t>
  </si>
  <si>
    <t>b2 [cm]</t>
  </si>
  <si>
    <t>D-shape</t>
  </si>
  <si>
    <t>A-OpenMC</t>
  </si>
  <si>
    <t>A-MCNP-Sab</t>
  </si>
  <si>
    <t>A-NoSab</t>
  </si>
  <si>
    <t>A-Sab</t>
  </si>
  <si>
    <t>B-OpenMC</t>
  </si>
  <si>
    <t>B-MCNP-Sab</t>
  </si>
  <si>
    <t>B-NoSab</t>
  </si>
  <si>
    <t>B-Sab</t>
  </si>
  <si>
    <t>C-MCNP-Sab</t>
  </si>
  <si>
    <t>C-MCNP</t>
  </si>
  <si>
    <t>C-NoSab</t>
  </si>
  <si>
    <t>C-Sab</t>
  </si>
  <si>
    <t>A-OpenMC GE</t>
  </si>
  <si>
    <t>3.42717e-05 +/- 2.00814e-07</t>
  </si>
  <si>
    <t>0.00017047 +/- 5.46917e-07</t>
  </si>
  <si>
    <t>0.000513378 +/- 2.31006e-06</t>
  </si>
  <si>
    <t>0.00489834 +/- 1.49727e-05</t>
  </si>
  <si>
    <t>0.00934118 +/- 2.75686e-05</t>
  </si>
  <si>
    <t>0.0172972 +/- 3.42802e-05</t>
  </si>
  <si>
    <t>0.0246803 +/- 7.46006e-05</t>
  </si>
  <si>
    <t>0.0315217 +/- 9.62695e-05</t>
  </si>
  <si>
    <t>0.0380746 +/- 7.60547e-05</t>
  </si>
  <si>
    <t>0.057466 +/- 9.7373e-05</t>
  </si>
  <si>
    <t>0.101377 +/- 0.000174758</t>
  </si>
  <si>
    <t>0.142193 +/- 0.00014212</t>
  </si>
  <si>
    <t>0.181634 +/- 0.000119385</t>
  </si>
  <si>
    <t>B-OpenMC GE</t>
  </si>
  <si>
    <t>2.22147e-05 +/- 2.47672e-06</t>
  </si>
  <si>
    <t>0.000106229 +/- 5.60513e-06</t>
  </si>
  <si>
    <t>0.000333532 +/- 6.73482e-06</t>
  </si>
  <si>
    <t>0.00322792 +/- 3.39898e-05</t>
  </si>
  <si>
    <t>0.00640842 +/- 2.81757e-05</t>
  </si>
  <si>
    <t>0.0127028 +/- 5.7762e-05</t>
  </si>
  <si>
    <t>0.0188488 +/- 9.37748e-05</t>
  </si>
  <si>
    <t>0.0247298 +/- 0.000124073</t>
  </si>
  <si>
    <t>0.0306727 +/- 7.81938e-05</t>
  </si>
  <si>
    <t>0.0491962 +/- 0.000102959</t>
  </si>
  <si>
    <t>0.0924486 +/- 0.000169917</t>
  </si>
  <si>
    <t>0.133441 +/- 0.000154351</t>
  </si>
  <si>
    <t>0.175223 +/- 0.000250673</t>
  </si>
  <si>
    <t xml:space="preserve"> 1.84484e-05 +/- 3.13867e-06</t>
  </si>
  <si>
    <t>C-OpenMC EZ</t>
  </si>
  <si>
    <t xml:space="preserve"> 9.71272e-05 +/- 8.74883e-06</t>
  </si>
  <si>
    <t>0.000270845 +/- 6.94483e-06</t>
  </si>
  <si>
    <t xml:space="preserve"> 0.00288041 +/- 3.00186e-05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</si>
</sst>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1" fillId="6" borderId="0" xfId="0" applyFont="1" applyFill="1"/>
    <xf numFmtId="11" fontId="1" fillId="0" borderId="0" xfId="0" applyNumberFormat="1" applyFont="1"/>
    <xf numFmtId="11" fontId="1" fillId="6" borderId="0" xfId="0" applyNumberFormat="1" applyFont="1" applyFill="1"/>
    <xf numFmtId="0" fontId="1" fillId="5" borderId="0" xfId="0" applyFont="1" applyFill="1"/>
    <xf numFmtId="0" fontId="1" fillId="0" borderId="0" xfId="0" applyFont="1"/>
    <xf numFmtId="0" fontId="1" fillId="6" borderId="0" xfId="0" applyFont="1" applyFill="1"/>
    <xf numFmtId="0" fontId="1" fillId="0" borderId="0" xfId="0" applyFont="1" applyAlignment="1"/>
    <xf numFmtId="0" fontId="3" fillId="5" borderId="0" xfId="0" applyFont="1" applyFill="1"/>
    <xf numFmtId="0" fontId="4" fillId="0" borderId="0" xfId="0" applyFont="1"/>
    <xf numFmtId="0" fontId="4" fillId="6" borderId="0" xfId="0" applyFont="1" applyFill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FC4F-D43B-4A1F-B2DD-D9530C0EDDB6}">
  <dimension ref="A1:Q54"/>
  <sheetViews>
    <sheetView tabSelected="1" topLeftCell="A15" zoomScale="88" workbookViewId="0">
      <selection activeCell="I45" sqref="I45"/>
    </sheetView>
  </sheetViews>
  <sheetFormatPr defaultRowHeight="14.25" x14ac:dyDescent="0.45"/>
  <cols>
    <col min="4" max="4" width="1.265625" customWidth="1"/>
    <col min="7" max="7" width="1.6640625" customWidth="1"/>
    <col min="8" max="8" width="13.1328125" customWidth="1"/>
    <col min="9" max="9" width="12.33203125" customWidth="1"/>
    <col min="10" max="10" width="14.53125" customWidth="1"/>
    <col min="15" max="15" width="1.1328125" customWidth="1"/>
  </cols>
  <sheetData>
    <row r="1" spans="1:17" x14ac:dyDescent="0.45">
      <c r="A1" s="1" t="s">
        <v>0</v>
      </c>
      <c r="B1" s="1"/>
      <c r="C1" s="1"/>
      <c r="D1" s="13"/>
      <c r="E1" s="13"/>
      <c r="F1" s="1"/>
      <c r="G1" s="13"/>
      <c r="H1" s="13"/>
      <c r="I1" s="1"/>
      <c r="J1" s="1"/>
      <c r="K1" s="1"/>
      <c r="L1" s="1"/>
      <c r="M1" s="1"/>
      <c r="N1" s="1"/>
      <c r="O1" s="1"/>
      <c r="P1" s="2" t="s">
        <v>1</v>
      </c>
      <c r="Q1" s="2"/>
    </row>
    <row r="2" spans="1:17" x14ac:dyDescent="0.45">
      <c r="A2" s="1" t="s">
        <v>2</v>
      </c>
      <c r="B2" s="1"/>
      <c r="C2" s="1"/>
      <c r="D2" s="13"/>
      <c r="E2" s="13"/>
      <c r="F2" s="1"/>
      <c r="G2" s="13"/>
      <c r="H2" s="13"/>
      <c r="I2" s="1"/>
      <c r="J2" s="1"/>
      <c r="K2" s="1"/>
      <c r="L2" s="1"/>
      <c r="M2" s="1"/>
      <c r="N2" s="1"/>
      <c r="O2" s="1"/>
      <c r="P2" s="2" t="s">
        <v>3</v>
      </c>
      <c r="Q2" s="2" t="s">
        <v>4</v>
      </c>
    </row>
    <row r="3" spans="1:17" x14ac:dyDescent="0.45">
      <c r="A3" s="1" t="s">
        <v>5</v>
      </c>
      <c r="B3" s="1"/>
      <c r="C3" s="1"/>
      <c r="D3" s="13"/>
      <c r="E3" s="13"/>
      <c r="F3" s="1"/>
      <c r="G3" s="13"/>
      <c r="H3" s="13"/>
      <c r="I3" s="1"/>
      <c r="J3" s="1"/>
      <c r="K3" s="1"/>
      <c r="L3" s="1"/>
      <c r="M3" s="1"/>
      <c r="N3" s="1"/>
      <c r="O3" s="1"/>
      <c r="P3" s="1" t="s">
        <v>6</v>
      </c>
      <c r="Q3" s="1">
        <v>2.6808300000000001E-4</v>
      </c>
    </row>
    <row r="4" spans="1:17" x14ac:dyDescent="0.45">
      <c r="A4" s="1" t="s">
        <v>7</v>
      </c>
      <c r="B4" s="1"/>
      <c r="C4" s="1"/>
      <c r="D4" s="13"/>
      <c r="E4" s="13"/>
      <c r="F4" s="1"/>
      <c r="G4" s="13"/>
      <c r="H4" s="13"/>
      <c r="I4" s="1"/>
      <c r="J4" s="1"/>
      <c r="K4" s="1"/>
      <c r="L4" s="1"/>
      <c r="M4" s="1"/>
      <c r="N4" s="1"/>
      <c r="O4" s="1"/>
      <c r="P4" s="1" t="s">
        <v>8</v>
      </c>
      <c r="Q4" s="1">
        <v>5.2359900000000003E-4</v>
      </c>
    </row>
    <row r="5" spans="1:17" x14ac:dyDescent="0.45">
      <c r="A5" s="1" t="s">
        <v>9</v>
      </c>
      <c r="B5" s="1"/>
      <c r="C5" s="1"/>
      <c r="D5" s="13"/>
      <c r="E5" s="13"/>
      <c r="F5" s="1"/>
      <c r="G5" s="13"/>
      <c r="H5" s="13"/>
      <c r="I5" s="1"/>
      <c r="J5" s="1"/>
      <c r="K5" s="1"/>
      <c r="L5" s="1"/>
      <c r="M5" s="1"/>
      <c r="N5" s="1"/>
      <c r="O5" s="1"/>
      <c r="P5" s="1" t="s">
        <v>10</v>
      </c>
      <c r="Q5" s="1">
        <v>0.40296735500000003</v>
      </c>
    </row>
    <row r="6" spans="1:17" x14ac:dyDescent="0.45">
      <c r="A6" s="1"/>
      <c r="B6" s="1"/>
      <c r="C6" s="1"/>
      <c r="D6" s="11"/>
      <c r="E6" s="11"/>
      <c r="F6" s="1"/>
      <c r="G6" s="11"/>
      <c r="H6" s="11"/>
      <c r="I6" s="1"/>
      <c r="J6" s="1"/>
      <c r="K6" s="1"/>
      <c r="L6" s="1"/>
      <c r="M6" s="1"/>
      <c r="N6" s="1"/>
      <c r="O6" s="11"/>
      <c r="P6" s="11"/>
      <c r="Q6" s="1"/>
    </row>
    <row r="7" spans="1:17" x14ac:dyDescent="0.45">
      <c r="A7" s="1"/>
      <c r="B7" s="1"/>
      <c r="C7" s="1"/>
      <c r="D7" s="11"/>
      <c r="E7" s="11"/>
      <c r="F7" s="1"/>
      <c r="G7" s="1"/>
      <c r="H7" s="2" t="s">
        <v>11</v>
      </c>
      <c r="I7" s="1"/>
      <c r="J7" s="1"/>
      <c r="K7" s="1"/>
      <c r="L7" s="1"/>
      <c r="M7" s="1"/>
      <c r="N7" s="1"/>
      <c r="O7" s="1"/>
      <c r="P7" s="2" t="s">
        <v>12</v>
      </c>
      <c r="Q7" s="2"/>
    </row>
    <row r="8" spans="1:17" x14ac:dyDescent="0.45">
      <c r="A8" s="1"/>
      <c r="B8" s="1"/>
      <c r="C8" s="1"/>
      <c r="D8" s="11"/>
      <c r="E8" s="11"/>
      <c r="F8" s="1"/>
      <c r="G8" s="1"/>
      <c r="H8" s="3" t="s">
        <v>13</v>
      </c>
      <c r="I8" s="3"/>
      <c r="J8" s="3"/>
      <c r="K8" s="3"/>
      <c r="L8" s="4" t="s">
        <v>14</v>
      </c>
      <c r="M8" s="4"/>
      <c r="N8" s="4"/>
      <c r="O8" s="1"/>
      <c r="P8" s="5" t="s">
        <v>15</v>
      </c>
      <c r="Q8" s="5"/>
    </row>
    <row r="9" spans="1:17" x14ac:dyDescent="0.45">
      <c r="A9" s="6" t="s">
        <v>16</v>
      </c>
      <c r="B9" s="6" t="s">
        <v>17</v>
      </c>
      <c r="C9" s="6" t="s">
        <v>18</v>
      </c>
      <c r="D9" s="6"/>
      <c r="E9" s="6" t="s">
        <v>19</v>
      </c>
      <c r="F9" s="6" t="s">
        <v>20</v>
      </c>
      <c r="G9" s="6"/>
      <c r="H9" s="6" t="s">
        <v>21</v>
      </c>
      <c r="I9" s="6" t="s">
        <v>22</v>
      </c>
      <c r="J9" s="14" t="s">
        <v>34</v>
      </c>
      <c r="K9" s="6" t="s">
        <v>23</v>
      </c>
      <c r="L9" s="6" t="e" cm="1">
        <f t="array" ref="L9">A-OMC/D</f>
        <v>#NAME?</v>
      </c>
      <c r="M9" s="6" t="e" cm="1">
        <f t="array" ref="M9">A-MCNP/D</f>
        <v>#NAME?</v>
      </c>
      <c r="N9" s="6" t="e" cm="1">
        <f t="array" ref="N9">A-MCNP-Sab/D</f>
        <v>#NAME?</v>
      </c>
      <c r="O9" s="6"/>
      <c r="P9" s="6" t="s">
        <v>24</v>
      </c>
      <c r="Q9" s="6" t="s">
        <v>25</v>
      </c>
    </row>
    <row r="10" spans="1:17" x14ac:dyDescent="0.45">
      <c r="A10" s="1">
        <v>0.1</v>
      </c>
      <c r="B10" s="1">
        <v>0.04</v>
      </c>
      <c r="C10" s="1">
        <v>2.0999999999999999E-3</v>
      </c>
      <c r="D10" s="7"/>
      <c r="E10" s="1">
        <v>23.78</v>
      </c>
      <c r="F10" s="1">
        <v>29.75</v>
      </c>
      <c r="G10" s="7"/>
      <c r="H10" s="8">
        <v>3.5299999999999997E-5</v>
      </c>
      <c r="I10" s="8">
        <v>3.4400000000000003E-5</v>
      </c>
      <c r="J10" s="15" t="s">
        <v>35</v>
      </c>
      <c r="K10" s="1"/>
      <c r="L10" s="1">
        <v>0.97599999999999998</v>
      </c>
      <c r="M10" s="1">
        <v>0</v>
      </c>
      <c r="N10" s="1" t="e">
        <v>#REF!</v>
      </c>
      <c r="O10" s="7"/>
      <c r="P10" s="8">
        <v>3.4099999999999999E-4</v>
      </c>
      <c r="Q10" s="8">
        <v>3.4099999999999999E-4</v>
      </c>
    </row>
    <row r="11" spans="1:17" x14ac:dyDescent="0.45">
      <c r="A11" s="7">
        <v>0.5</v>
      </c>
      <c r="B11" s="7">
        <v>0.20100000000000001</v>
      </c>
      <c r="C11" s="7">
        <v>1.06E-2</v>
      </c>
      <c r="D11" s="7"/>
      <c r="E11" s="7">
        <v>10.64</v>
      </c>
      <c r="F11" s="7">
        <v>13.3</v>
      </c>
      <c r="G11" s="7"/>
      <c r="H11" s="9">
        <v>1.76E-4</v>
      </c>
      <c r="I11" s="9">
        <v>1.7100000000000001E-4</v>
      </c>
      <c r="J11" s="16" t="s">
        <v>36</v>
      </c>
      <c r="K11" s="7"/>
      <c r="L11" s="7">
        <v>0.97199999999999998</v>
      </c>
      <c r="M11" s="7">
        <v>0</v>
      </c>
      <c r="N11" s="7" t="e">
        <v>#REF!</v>
      </c>
      <c r="O11" s="7"/>
      <c r="P11" s="9">
        <v>1.7099999999999999E-3</v>
      </c>
      <c r="Q11" s="9">
        <v>1.7099999999999999E-3</v>
      </c>
    </row>
    <row r="12" spans="1:17" x14ac:dyDescent="0.45">
      <c r="A12" s="1">
        <v>1.5</v>
      </c>
      <c r="B12" s="1">
        <v>0.60399999999999998</v>
      </c>
      <c r="C12" s="1">
        <v>3.1699999999999999E-2</v>
      </c>
      <c r="D12" s="7"/>
      <c r="E12" s="1">
        <v>6.14</v>
      </c>
      <c r="F12" s="1">
        <v>7.68</v>
      </c>
      <c r="G12" s="7"/>
      <c r="H12" s="8">
        <v>5.2700000000000002E-4</v>
      </c>
      <c r="I12" s="8">
        <v>5.1199999999999998E-4</v>
      </c>
      <c r="J12" s="15" t="s">
        <v>37</v>
      </c>
      <c r="K12" s="1"/>
      <c r="L12" s="1">
        <v>0.97299999999999998</v>
      </c>
      <c r="M12" s="1">
        <v>0</v>
      </c>
      <c r="N12" s="1" t="e">
        <v>#REF!</v>
      </c>
      <c r="O12" s="7"/>
      <c r="P12" s="8">
        <v>5.0800000000000003E-3</v>
      </c>
      <c r="Q12" s="8">
        <v>5.0699999999999999E-3</v>
      </c>
    </row>
    <row r="13" spans="1:17" x14ac:dyDescent="0.45">
      <c r="A13" s="7">
        <v>15</v>
      </c>
      <c r="B13" s="7">
        <v>6.0449999999999999</v>
      </c>
      <c r="C13" s="7">
        <v>0.3165</v>
      </c>
      <c r="D13" s="7"/>
      <c r="E13" s="7">
        <v>1.94</v>
      </c>
      <c r="F13" s="7">
        <v>2.4300000000000002</v>
      </c>
      <c r="G13" s="7"/>
      <c r="H13" s="9">
        <v>5.0299999999999997E-3</v>
      </c>
      <c r="I13" s="9">
        <v>4.8700000000000002E-3</v>
      </c>
      <c r="J13" s="16" t="s">
        <v>38</v>
      </c>
      <c r="K13" s="7"/>
      <c r="L13" s="7">
        <v>0.97</v>
      </c>
      <c r="M13" s="7">
        <v>0</v>
      </c>
      <c r="N13" s="7" t="e">
        <v>#REF!</v>
      </c>
      <c r="O13" s="7"/>
      <c r="P13" s="9">
        <v>4.9000000000000002E-2</v>
      </c>
      <c r="Q13" s="9">
        <v>4.8800000000000003E-2</v>
      </c>
    </row>
    <row r="14" spans="1:17" x14ac:dyDescent="0.45">
      <c r="A14" s="1">
        <v>30</v>
      </c>
      <c r="B14" s="1">
        <v>12.089</v>
      </c>
      <c r="C14" s="1">
        <v>0.63300000000000001</v>
      </c>
      <c r="D14" s="7"/>
      <c r="E14" s="1">
        <v>1.37</v>
      </c>
      <c r="F14" s="1">
        <v>1.72</v>
      </c>
      <c r="G14" s="7"/>
      <c r="H14" s="8">
        <v>9.6100000000000005E-3</v>
      </c>
      <c r="I14" s="8">
        <v>9.3200000000000002E-3</v>
      </c>
      <c r="J14" s="15" t="s">
        <v>39</v>
      </c>
      <c r="K14" s="1"/>
      <c r="L14" s="1">
        <v>0.97</v>
      </c>
      <c r="M14" s="1">
        <v>0</v>
      </c>
      <c r="N14" s="1" t="e">
        <v>#REF!</v>
      </c>
      <c r="O14" s="7"/>
      <c r="P14" s="8">
        <v>9.4100000000000003E-2</v>
      </c>
      <c r="Q14" s="8">
        <v>9.35E-2</v>
      </c>
    </row>
    <row r="15" spans="1:17" x14ac:dyDescent="0.45">
      <c r="A15" s="7">
        <v>60</v>
      </c>
      <c r="B15" s="7">
        <v>24.178000000000001</v>
      </c>
      <c r="C15" s="7">
        <v>1.266</v>
      </c>
      <c r="D15" s="7"/>
      <c r="E15" s="7">
        <v>0.97</v>
      </c>
      <c r="F15" s="7">
        <v>1.21</v>
      </c>
      <c r="G15" s="7"/>
      <c r="H15" s="9">
        <v>1.7999999999999999E-2</v>
      </c>
      <c r="I15" s="9">
        <v>1.7500000000000002E-2</v>
      </c>
      <c r="J15" s="16" t="s">
        <v>40</v>
      </c>
      <c r="K15" s="7"/>
      <c r="L15" s="7">
        <v>0.97599999999999998</v>
      </c>
      <c r="M15" s="7">
        <v>0</v>
      </c>
      <c r="N15" s="7" t="e">
        <v>#REF!</v>
      </c>
      <c r="O15" s="7"/>
      <c r="P15" s="9">
        <v>0.17399999999999999</v>
      </c>
      <c r="Q15" s="9">
        <v>0.17399999999999999</v>
      </c>
    </row>
    <row r="16" spans="1:17" x14ac:dyDescent="0.45">
      <c r="A16" s="1">
        <v>90</v>
      </c>
      <c r="B16" s="1">
        <v>36.267000000000003</v>
      </c>
      <c r="C16" s="1">
        <v>1.899</v>
      </c>
      <c r="D16" s="7"/>
      <c r="E16" s="1">
        <v>0.79</v>
      </c>
      <c r="F16" s="1">
        <v>0.99</v>
      </c>
      <c r="G16" s="7"/>
      <c r="H16" s="8">
        <v>2.5499999999999998E-2</v>
      </c>
      <c r="I16" s="8">
        <v>2.4799999999999999E-2</v>
      </c>
      <c r="J16" s="15" t="s">
        <v>41</v>
      </c>
      <c r="K16" s="1"/>
      <c r="L16" s="1">
        <v>0.97299999999999998</v>
      </c>
      <c r="M16" s="1">
        <v>0</v>
      </c>
      <c r="N16" s="1" t="e">
        <v>#REF!</v>
      </c>
      <c r="O16" s="7"/>
      <c r="P16" s="8">
        <v>0.252</v>
      </c>
      <c r="Q16" s="8">
        <v>0.247</v>
      </c>
    </row>
    <row r="17" spans="1:17" x14ac:dyDescent="0.45">
      <c r="A17" s="7">
        <v>120</v>
      </c>
      <c r="B17" s="7">
        <v>48.356000000000002</v>
      </c>
      <c r="C17" s="7">
        <v>2.532</v>
      </c>
      <c r="D17" s="7"/>
      <c r="E17" s="7">
        <v>0.69</v>
      </c>
      <c r="F17" s="7">
        <v>0.86</v>
      </c>
      <c r="G17" s="7"/>
      <c r="H17" s="9">
        <v>3.2399999999999998E-2</v>
      </c>
      <c r="I17" s="9">
        <v>3.15E-2</v>
      </c>
      <c r="J17" s="16" t="s">
        <v>42</v>
      </c>
      <c r="K17" s="7"/>
      <c r="L17" s="7">
        <v>0.97299999999999998</v>
      </c>
      <c r="M17" s="7">
        <v>0</v>
      </c>
      <c r="N17" s="7" t="e">
        <v>#REF!</v>
      </c>
      <c r="O17" s="7"/>
      <c r="P17" s="9">
        <v>0.32300000000000001</v>
      </c>
      <c r="Q17" s="9">
        <v>0.315</v>
      </c>
    </row>
    <row r="18" spans="1:17" x14ac:dyDescent="0.45">
      <c r="A18" s="1">
        <v>150</v>
      </c>
      <c r="B18" s="1">
        <v>60.445</v>
      </c>
      <c r="C18" s="1">
        <v>3.165</v>
      </c>
      <c r="D18" s="7"/>
      <c r="E18" s="1">
        <v>0.61</v>
      </c>
      <c r="F18" s="1">
        <v>0.77</v>
      </c>
      <c r="G18" s="7"/>
      <c r="H18" s="8">
        <v>3.9100000000000003E-2</v>
      </c>
      <c r="I18" s="8">
        <v>3.8100000000000002E-2</v>
      </c>
      <c r="J18" s="15" t="s">
        <v>43</v>
      </c>
      <c r="K18" s="1"/>
      <c r="L18" s="1">
        <v>0.97599999999999998</v>
      </c>
      <c r="M18" s="1">
        <v>0</v>
      </c>
      <c r="N18" s="1" t="e">
        <v>#REF!</v>
      </c>
      <c r="O18" s="7"/>
      <c r="P18" s="8">
        <v>0.39300000000000002</v>
      </c>
      <c r="Q18" s="8">
        <v>0.38</v>
      </c>
    </row>
    <row r="19" spans="1:17" x14ac:dyDescent="0.45">
      <c r="A19" s="7">
        <v>250</v>
      </c>
      <c r="B19" s="7">
        <v>100.742</v>
      </c>
      <c r="C19" s="7">
        <v>5.2748999999999997</v>
      </c>
      <c r="D19" s="7"/>
      <c r="E19" s="7">
        <v>0.48</v>
      </c>
      <c r="F19" s="7">
        <v>0.59</v>
      </c>
      <c r="G19" s="7"/>
      <c r="H19" s="9">
        <v>5.8999999999999997E-2</v>
      </c>
      <c r="I19" s="9">
        <v>5.7700000000000001E-2</v>
      </c>
      <c r="J19" s="16" t="s">
        <v>44</v>
      </c>
      <c r="K19" s="7"/>
      <c r="L19" s="7">
        <v>0.97799999999999998</v>
      </c>
      <c r="M19" s="7">
        <v>0</v>
      </c>
      <c r="N19" s="7" t="e">
        <v>#REF!</v>
      </c>
      <c r="O19" s="7"/>
      <c r="P19" s="9">
        <v>0.60899999999999999</v>
      </c>
      <c r="Q19" s="9">
        <v>0.57599999999999996</v>
      </c>
    </row>
    <row r="20" spans="1:17" x14ac:dyDescent="0.45">
      <c r="A20" s="1">
        <v>500</v>
      </c>
      <c r="B20" s="1">
        <v>201.48400000000001</v>
      </c>
      <c r="C20" s="1">
        <v>10.549899999999999</v>
      </c>
      <c r="D20" s="7"/>
      <c r="E20" s="1">
        <v>0.34</v>
      </c>
      <c r="F20" s="1">
        <v>0.42</v>
      </c>
      <c r="G20" s="7"/>
      <c r="H20" s="8">
        <v>0.104</v>
      </c>
      <c r="I20" s="8">
        <v>0.10199999999999999</v>
      </c>
      <c r="J20" s="15" t="s">
        <v>45</v>
      </c>
      <c r="K20" s="1"/>
      <c r="L20" s="1">
        <v>0.98099999999999998</v>
      </c>
      <c r="M20" s="1">
        <v>0</v>
      </c>
      <c r="N20" s="1" t="e">
        <v>#REF!</v>
      </c>
      <c r="O20" s="7"/>
      <c r="P20" s="8">
        <v>1.1299999999999999</v>
      </c>
      <c r="Q20" s="8">
        <v>1.01</v>
      </c>
    </row>
    <row r="21" spans="1:17" x14ac:dyDescent="0.45">
      <c r="A21" s="7">
        <v>750</v>
      </c>
      <c r="B21" s="7">
        <v>302.226</v>
      </c>
      <c r="C21" s="7">
        <v>15.8248</v>
      </c>
      <c r="D21" s="7"/>
      <c r="E21" s="7">
        <v>0.27</v>
      </c>
      <c r="F21" s="7">
        <v>0.34</v>
      </c>
      <c r="G21" s="7"/>
      <c r="H21" s="9">
        <v>0.14499999999999999</v>
      </c>
      <c r="I21" s="9">
        <v>0.14199999999999999</v>
      </c>
      <c r="J21" s="16" t="s">
        <v>46</v>
      </c>
      <c r="K21" s="7"/>
      <c r="L21" s="7">
        <v>0.97799999999999998</v>
      </c>
      <c r="M21" s="7">
        <v>0</v>
      </c>
      <c r="N21" s="7" t="e">
        <v>#REF!</v>
      </c>
      <c r="O21" s="7"/>
      <c r="P21" s="9">
        <v>1.68</v>
      </c>
      <c r="Q21" s="9">
        <v>1.41</v>
      </c>
    </row>
    <row r="22" spans="1:17" x14ac:dyDescent="0.45">
      <c r="A22" s="1">
        <v>1000</v>
      </c>
      <c r="B22" s="1">
        <v>402.96699999999998</v>
      </c>
      <c r="C22" s="1">
        <v>21.099599999999999</v>
      </c>
      <c r="D22" s="7"/>
      <c r="E22" s="1">
        <v>0.24</v>
      </c>
      <c r="F22" s="1">
        <v>0.3</v>
      </c>
      <c r="G22" s="7"/>
      <c r="H22" s="8">
        <v>0.186</v>
      </c>
      <c r="I22" s="8">
        <v>0.182</v>
      </c>
      <c r="J22" s="15" t="s">
        <v>47</v>
      </c>
      <c r="K22" s="1"/>
      <c r="L22" s="1">
        <v>0.97699999999999998</v>
      </c>
      <c r="M22" s="1">
        <v>0</v>
      </c>
      <c r="N22" s="1" t="e">
        <v>#REF!</v>
      </c>
      <c r="O22" s="7"/>
      <c r="P22" s="8">
        <v>2.27</v>
      </c>
      <c r="Q22" s="8">
        <v>1.79</v>
      </c>
    </row>
    <row r="23" spans="1:17" x14ac:dyDescent="0.45">
      <c r="A23" s="1"/>
      <c r="B23" s="1"/>
      <c r="C23" s="1"/>
      <c r="D23" s="11"/>
      <c r="E23" s="11"/>
      <c r="F23" s="1"/>
      <c r="G23" s="11"/>
      <c r="H23" s="11"/>
      <c r="I23" s="1"/>
      <c r="J23" s="1"/>
      <c r="K23" s="1"/>
      <c r="L23" s="1"/>
      <c r="M23" s="1"/>
      <c r="N23" s="1"/>
      <c r="O23" s="11"/>
      <c r="P23" s="11"/>
      <c r="Q23" s="1"/>
    </row>
    <row r="24" spans="1:17" x14ac:dyDescent="0.45">
      <c r="A24" s="1"/>
      <c r="B24" s="1"/>
      <c r="C24" s="1"/>
      <c r="D24" s="11"/>
      <c r="E24" s="11"/>
      <c r="F24" s="1"/>
      <c r="G24" s="1"/>
      <c r="H24" s="3" t="s">
        <v>13</v>
      </c>
      <c r="I24" s="3"/>
      <c r="J24" s="3"/>
      <c r="K24" s="3"/>
      <c r="L24" s="4" t="s">
        <v>14</v>
      </c>
      <c r="M24" s="4"/>
      <c r="N24" s="4"/>
      <c r="O24" s="1"/>
      <c r="P24" s="5" t="s">
        <v>15</v>
      </c>
      <c r="Q24" s="5"/>
    </row>
    <row r="25" spans="1:17" x14ac:dyDescent="0.45">
      <c r="A25" s="6" t="s">
        <v>16</v>
      </c>
      <c r="B25" s="6" t="s">
        <v>17</v>
      </c>
      <c r="C25" s="6" t="s">
        <v>18</v>
      </c>
      <c r="D25" s="6"/>
      <c r="E25" s="6" t="s">
        <v>19</v>
      </c>
      <c r="F25" s="6" t="s">
        <v>20</v>
      </c>
      <c r="G25" s="6"/>
      <c r="H25" s="6" t="s">
        <v>21</v>
      </c>
      <c r="I25" s="6" t="s">
        <v>26</v>
      </c>
      <c r="J25" s="14" t="s">
        <v>48</v>
      </c>
      <c r="K25" s="6" t="s">
        <v>27</v>
      </c>
      <c r="L25" s="6" t="e" cm="1">
        <f t="array" ref="L25">D/B-OpenMC</f>
        <v>#NAME?</v>
      </c>
      <c r="M25" s="6" t="e" cm="1">
        <f t="array" ref="M25">D/B-MCNP</f>
        <v>#NAME?</v>
      </c>
      <c r="N25" s="6" t="e" cm="1">
        <f t="array" ref="N25">D/B-MCNP-Sab</f>
        <v>#NAME?</v>
      </c>
      <c r="O25" s="10"/>
      <c r="P25" s="6" t="s">
        <v>28</v>
      </c>
      <c r="Q25" s="6" t="s">
        <v>29</v>
      </c>
    </row>
    <row r="26" spans="1:17" x14ac:dyDescent="0.45">
      <c r="A26" s="1">
        <v>0.1</v>
      </c>
      <c r="B26" s="1">
        <v>0.04</v>
      </c>
      <c r="C26" s="1">
        <v>2.0999999999999999E-3</v>
      </c>
      <c r="D26" s="7"/>
      <c r="E26" s="1">
        <v>23.78</v>
      </c>
      <c r="F26" s="1">
        <v>29.75</v>
      </c>
      <c r="G26" s="7"/>
      <c r="H26" s="8">
        <v>3.5299999999999997E-5</v>
      </c>
      <c r="I26" s="8">
        <v>4.7600000000000002E-6</v>
      </c>
      <c r="J26" s="15" t="s">
        <v>49</v>
      </c>
      <c r="K26" s="1"/>
      <c r="L26" s="1">
        <v>0.13500000000000001</v>
      </c>
      <c r="M26" s="1">
        <v>0</v>
      </c>
      <c r="N26" s="1"/>
      <c r="O26" s="7"/>
      <c r="P26" s="8">
        <v>3.97</v>
      </c>
      <c r="Q26" s="1"/>
    </row>
    <row r="27" spans="1:17" x14ac:dyDescent="0.45">
      <c r="A27" s="7">
        <v>0.5</v>
      </c>
      <c r="B27" s="7">
        <v>0.20100000000000001</v>
      </c>
      <c r="C27" s="7">
        <v>1.06E-2</v>
      </c>
      <c r="D27" s="7"/>
      <c r="E27" s="7">
        <v>10.64</v>
      </c>
      <c r="F27" s="7">
        <v>13.3</v>
      </c>
      <c r="G27" s="7"/>
      <c r="H27" s="9">
        <v>1.76E-4</v>
      </c>
      <c r="I27" s="9">
        <v>3.43E-5</v>
      </c>
      <c r="J27" s="16" t="s">
        <v>50</v>
      </c>
      <c r="K27" s="7"/>
      <c r="L27" s="7">
        <v>0.19500000000000001</v>
      </c>
      <c r="M27" s="7">
        <v>0</v>
      </c>
      <c r="N27" s="7"/>
      <c r="O27" s="7"/>
      <c r="P27" s="9">
        <v>19.5</v>
      </c>
      <c r="Q27" s="7"/>
    </row>
    <row r="28" spans="1:17" x14ac:dyDescent="0.45">
      <c r="A28" s="1">
        <v>1.5</v>
      </c>
      <c r="B28" s="1">
        <v>0.60399999999999998</v>
      </c>
      <c r="C28" s="1">
        <v>3.1699999999999999E-2</v>
      </c>
      <c r="D28" s="7"/>
      <c r="E28" s="1">
        <v>6.14</v>
      </c>
      <c r="F28" s="1">
        <v>7.68</v>
      </c>
      <c r="G28" s="7"/>
      <c r="H28" s="8">
        <v>5.2700000000000002E-4</v>
      </c>
      <c r="I28" s="8">
        <v>1.12E-4</v>
      </c>
      <c r="J28" s="15" t="s">
        <v>51</v>
      </c>
      <c r="K28" s="1"/>
      <c r="L28" s="1">
        <v>0.21199999999999999</v>
      </c>
      <c r="M28" s="1">
        <v>0</v>
      </c>
      <c r="N28" s="1"/>
      <c r="O28" s="7"/>
      <c r="P28" s="8">
        <v>58</v>
      </c>
      <c r="Q28" s="1"/>
    </row>
    <row r="29" spans="1:17" x14ac:dyDescent="0.45">
      <c r="A29" s="7">
        <v>15</v>
      </c>
      <c r="B29" s="7">
        <v>6.0449999999999999</v>
      </c>
      <c r="C29" s="7">
        <v>0.3165</v>
      </c>
      <c r="D29" s="7"/>
      <c r="E29" s="7">
        <v>1.94</v>
      </c>
      <c r="F29" s="7">
        <v>2.4300000000000002</v>
      </c>
      <c r="G29" s="7"/>
      <c r="H29" s="9">
        <v>5.0299999999999997E-3</v>
      </c>
      <c r="I29" s="9">
        <v>9.6900000000000003E-4</v>
      </c>
      <c r="J29" s="16" t="s">
        <v>52</v>
      </c>
      <c r="K29" s="7"/>
      <c r="L29" s="7">
        <v>0.193</v>
      </c>
      <c r="M29" s="7">
        <v>0</v>
      </c>
      <c r="N29" s="7"/>
      <c r="O29" s="7"/>
      <c r="P29" s="9">
        <v>579</v>
      </c>
      <c r="Q29" s="7"/>
    </row>
    <row r="30" spans="1:17" x14ac:dyDescent="0.45">
      <c r="A30" s="1">
        <v>30</v>
      </c>
      <c r="B30" s="1">
        <v>12.089</v>
      </c>
      <c r="C30" s="1">
        <v>0.63300000000000001</v>
      </c>
      <c r="D30" s="7"/>
      <c r="E30" s="1">
        <v>1.37</v>
      </c>
      <c r="F30" s="1">
        <v>1.72</v>
      </c>
      <c r="G30" s="7"/>
      <c r="H30" s="8">
        <v>9.6100000000000005E-3</v>
      </c>
      <c r="I30" s="8">
        <v>2E-3</v>
      </c>
      <c r="J30" s="17" t="s">
        <v>53</v>
      </c>
      <c r="K30" s="1"/>
      <c r="L30" s="1">
        <v>0.20899999999999999</v>
      </c>
      <c r="M30" s="1">
        <v>0</v>
      </c>
      <c r="N30" s="1"/>
      <c r="O30" s="7"/>
      <c r="P30" s="8">
        <v>1150</v>
      </c>
      <c r="Q30" s="1"/>
    </row>
    <row r="31" spans="1:17" x14ac:dyDescent="0.45">
      <c r="A31" s="7">
        <v>60</v>
      </c>
      <c r="B31" s="7">
        <v>24.178000000000001</v>
      </c>
      <c r="C31" s="7">
        <v>1.266</v>
      </c>
      <c r="D31" s="7"/>
      <c r="E31" s="7">
        <v>0.97</v>
      </c>
      <c r="F31" s="7">
        <v>1.21</v>
      </c>
      <c r="G31" s="7"/>
      <c r="H31" s="9">
        <v>1.7999999999999999E-2</v>
      </c>
      <c r="I31" s="9">
        <v>3.8999999999999998E-3</v>
      </c>
      <c r="J31" s="16" t="s">
        <v>54</v>
      </c>
      <c r="K31" s="7"/>
      <c r="L31" s="7">
        <v>0.217</v>
      </c>
      <c r="M31" s="7">
        <v>0</v>
      </c>
      <c r="N31" s="7"/>
      <c r="O31" s="7"/>
      <c r="P31" s="9">
        <v>2260</v>
      </c>
      <c r="Q31" s="7"/>
    </row>
    <row r="32" spans="1:17" x14ac:dyDescent="0.45">
      <c r="A32" s="1">
        <v>90</v>
      </c>
      <c r="B32" s="1">
        <v>36.267000000000003</v>
      </c>
      <c r="C32" s="1">
        <v>1.899</v>
      </c>
      <c r="D32" s="7"/>
      <c r="E32" s="1">
        <v>0.79</v>
      </c>
      <c r="F32" s="1">
        <v>0.99</v>
      </c>
      <c r="G32" s="7"/>
      <c r="H32" s="8">
        <v>2.5499999999999998E-2</v>
      </c>
      <c r="I32" s="8">
        <v>5.4900000000000001E-3</v>
      </c>
      <c r="J32" s="15" t="s">
        <v>55</v>
      </c>
      <c r="K32" s="1"/>
      <c r="L32" s="1">
        <v>0.215</v>
      </c>
      <c r="M32" s="1">
        <v>0</v>
      </c>
      <c r="N32" s="1"/>
      <c r="O32" s="7"/>
      <c r="P32" s="8">
        <v>3340</v>
      </c>
      <c r="Q32" s="1"/>
    </row>
    <row r="33" spans="1:17" x14ac:dyDescent="0.45">
      <c r="A33" s="7">
        <v>120</v>
      </c>
      <c r="B33" s="7">
        <v>48.356000000000002</v>
      </c>
      <c r="C33" s="7">
        <v>2.532</v>
      </c>
      <c r="D33" s="7"/>
      <c r="E33" s="7">
        <v>0.69</v>
      </c>
      <c r="F33" s="7">
        <v>0.86</v>
      </c>
      <c r="G33" s="7"/>
      <c r="H33" s="9">
        <v>3.2399999999999998E-2</v>
      </c>
      <c r="I33" s="9">
        <v>7.4200000000000004E-3</v>
      </c>
      <c r="J33" s="16" t="s">
        <v>56</v>
      </c>
      <c r="K33" s="7"/>
      <c r="L33" s="7">
        <v>0.22900000000000001</v>
      </c>
      <c r="M33" s="7">
        <v>0</v>
      </c>
      <c r="N33" s="7"/>
      <c r="O33" s="7"/>
      <c r="P33" s="9">
        <v>4400</v>
      </c>
      <c r="Q33" s="7"/>
    </row>
    <row r="34" spans="1:17" x14ac:dyDescent="0.45">
      <c r="A34" s="1">
        <v>150</v>
      </c>
      <c r="B34" s="1">
        <v>60.445</v>
      </c>
      <c r="C34" s="1">
        <v>3.165</v>
      </c>
      <c r="D34" s="7"/>
      <c r="E34" s="1">
        <v>0.61</v>
      </c>
      <c r="F34" s="1">
        <v>0.77</v>
      </c>
      <c r="G34" s="7"/>
      <c r="H34" s="8">
        <v>3.9100000000000003E-2</v>
      </c>
      <c r="I34" s="8">
        <v>9.7199999999999995E-3</v>
      </c>
      <c r="J34" s="17" t="s">
        <v>57</v>
      </c>
      <c r="K34" s="1"/>
      <c r="L34" s="1">
        <v>0.249</v>
      </c>
      <c r="M34" s="1">
        <v>0</v>
      </c>
      <c r="N34" s="1"/>
      <c r="O34" s="7"/>
      <c r="P34" s="8">
        <v>5420</v>
      </c>
      <c r="Q34" s="1"/>
    </row>
    <row r="35" spans="1:17" x14ac:dyDescent="0.45">
      <c r="A35" s="7">
        <v>250</v>
      </c>
      <c r="B35" s="7">
        <v>100.742</v>
      </c>
      <c r="C35" s="7">
        <v>5.2748999999999997</v>
      </c>
      <c r="D35" s="7"/>
      <c r="E35" s="7">
        <v>0.48</v>
      </c>
      <c r="F35" s="7">
        <v>0.59</v>
      </c>
      <c r="G35" s="7"/>
      <c r="H35" s="9">
        <v>5.8999999999999997E-2</v>
      </c>
      <c r="I35" s="9">
        <v>1.54E-2</v>
      </c>
      <c r="J35" s="16" t="s">
        <v>58</v>
      </c>
      <c r="K35" s="7"/>
      <c r="L35" s="7">
        <v>0.26100000000000001</v>
      </c>
      <c r="M35" s="7">
        <v>0</v>
      </c>
      <c r="N35" s="7"/>
      <c r="O35" s="7"/>
      <c r="P35" s="9">
        <v>8500</v>
      </c>
      <c r="Q35" s="7"/>
    </row>
    <row r="36" spans="1:17" x14ac:dyDescent="0.45">
      <c r="A36" s="1">
        <v>500</v>
      </c>
      <c r="B36" s="1">
        <v>201.48400000000001</v>
      </c>
      <c r="C36" s="1">
        <v>10.549899999999999</v>
      </c>
      <c r="D36" s="7"/>
      <c r="E36" s="1">
        <v>0.34</v>
      </c>
      <c r="F36" s="1">
        <v>0.42</v>
      </c>
      <c r="G36" s="7"/>
      <c r="H36" s="8">
        <v>0.104</v>
      </c>
      <c r="I36" s="8">
        <v>2.75E-2</v>
      </c>
      <c r="J36" s="17" t="s">
        <v>59</v>
      </c>
      <c r="K36" s="1"/>
      <c r="L36" s="1">
        <v>0.26500000000000001</v>
      </c>
      <c r="M36" s="1">
        <v>0</v>
      </c>
      <c r="N36" s="1"/>
      <c r="O36" s="7"/>
      <c r="P36" s="8">
        <v>15800</v>
      </c>
      <c r="Q36" s="1"/>
    </row>
    <row r="37" spans="1:17" x14ac:dyDescent="0.45">
      <c r="A37" s="7">
        <v>750</v>
      </c>
      <c r="B37" s="7">
        <v>302.226</v>
      </c>
      <c r="C37" s="7">
        <v>15.8248</v>
      </c>
      <c r="D37" s="7"/>
      <c r="E37" s="7">
        <v>0.27</v>
      </c>
      <c r="F37" s="7">
        <v>0.34</v>
      </c>
      <c r="G37" s="7"/>
      <c r="H37" s="9">
        <v>0.14499999999999999</v>
      </c>
      <c r="I37" s="9">
        <v>3.9899999999999998E-2</v>
      </c>
      <c r="J37" s="16" t="s">
        <v>60</v>
      </c>
      <c r="K37" s="7"/>
      <c r="L37" s="7">
        <v>0.27500000000000002</v>
      </c>
      <c r="M37" s="7">
        <v>0</v>
      </c>
      <c r="N37" s="7"/>
      <c r="O37" s="7"/>
      <c r="P37" s="9">
        <v>21900</v>
      </c>
      <c r="Q37" s="7"/>
    </row>
    <row r="38" spans="1:17" x14ac:dyDescent="0.45">
      <c r="A38" s="1">
        <v>1000</v>
      </c>
      <c r="B38" s="1">
        <v>402.96699999999998</v>
      </c>
      <c r="C38" s="1">
        <v>21.099599999999999</v>
      </c>
      <c r="D38" s="7"/>
      <c r="E38" s="1">
        <v>0.24</v>
      </c>
      <c r="F38" s="1">
        <v>0.3</v>
      </c>
      <c r="G38" s="7"/>
      <c r="H38" s="8">
        <v>0.186</v>
      </c>
      <c r="I38" s="1"/>
      <c r="J38" s="15" t="s">
        <v>61</v>
      </c>
      <c r="K38" s="1"/>
      <c r="L38" s="1">
        <v>0</v>
      </c>
      <c r="M38" s="1">
        <v>0</v>
      </c>
      <c r="N38" s="1"/>
      <c r="O38" s="12"/>
      <c r="P38" s="12"/>
      <c r="Q38" s="1"/>
    </row>
    <row r="40" spans="1:17" x14ac:dyDescent="0.45">
      <c r="A40" s="1"/>
      <c r="B40" s="1"/>
      <c r="C40" s="1"/>
      <c r="D40" s="11"/>
      <c r="E40" s="11"/>
      <c r="F40" s="1"/>
      <c r="G40" s="1"/>
      <c r="H40" s="3" t="s">
        <v>13</v>
      </c>
      <c r="I40" s="3"/>
      <c r="J40" s="3"/>
      <c r="K40" s="3"/>
      <c r="L40" s="4" t="s">
        <v>14</v>
      </c>
      <c r="M40" s="4"/>
      <c r="N40" s="4"/>
      <c r="O40" s="1"/>
      <c r="P40" s="5" t="s">
        <v>15</v>
      </c>
      <c r="Q40" s="5"/>
    </row>
    <row r="41" spans="1:17" x14ac:dyDescent="0.45">
      <c r="A41" s="6" t="s">
        <v>16</v>
      </c>
      <c r="B41" s="6" t="s">
        <v>17</v>
      </c>
      <c r="C41" s="6" t="s">
        <v>18</v>
      </c>
      <c r="D41" s="6"/>
      <c r="E41" s="6" t="s">
        <v>19</v>
      </c>
      <c r="F41" s="6" t="s">
        <v>20</v>
      </c>
      <c r="G41" s="6"/>
      <c r="H41" s="6" t="s">
        <v>21</v>
      </c>
      <c r="I41" s="6" t="s">
        <v>63</v>
      </c>
      <c r="J41" s="6" t="s">
        <v>31</v>
      </c>
      <c r="K41" s="6" t="s">
        <v>30</v>
      </c>
      <c r="L41" s="6" t="e" cm="1">
        <f t="array" ref="L41">D/B-OpenMC</f>
        <v>#NAME?</v>
      </c>
      <c r="M41" s="6" t="e" cm="1">
        <f t="array" ref="M41">D/B-MCNP</f>
        <v>#NAME?</v>
      </c>
      <c r="N41" s="6" t="e" cm="1">
        <f t="array" ref="N41">D/B-MCNP-Sab</f>
        <v>#NAME?</v>
      </c>
      <c r="O41" s="10"/>
      <c r="P41" s="6" t="s">
        <v>32</v>
      </c>
      <c r="Q41" s="6" t="s">
        <v>33</v>
      </c>
    </row>
    <row r="42" spans="1:17" x14ac:dyDescent="0.45">
      <c r="A42" s="1">
        <v>0.1</v>
      </c>
      <c r="B42" s="1">
        <v>0.04</v>
      </c>
      <c r="C42" s="1">
        <v>2.0999999999999999E-3</v>
      </c>
      <c r="D42" s="7"/>
      <c r="E42" s="1">
        <v>23.78</v>
      </c>
      <c r="F42" s="1">
        <v>29.75</v>
      </c>
      <c r="G42" s="7"/>
      <c r="H42" s="8">
        <v>3.5299999999999997E-5</v>
      </c>
      <c r="I42" s="8" t="s">
        <v>62</v>
      </c>
      <c r="J42" s="1"/>
      <c r="K42" s="1"/>
      <c r="L42" s="1">
        <v>0.13500000000000001</v>
      </c>
      <c r="M42" s="1">
        <v>0</v>
      </c>
      <c r="N42" s="1"/>
      <c r="O42" s="7"/>
      <c r="P42" s="8"/>
      <c r="Q42" s="1"/>
    </row>
    <row r="43" spans="1:17" x14ac:dyDescent="0.45">
      <c r="A43" s="7">
        <v>0.5</v>
      </c>
      <c r="B43" s="7">
        <v>0.20100000000000001</v>
      </c>
      <c r="C43" s="7">
        <v>1.06E-2</v>
      </c>
      <c r="D43" s="7"/>
      <c r="E43" s="7">
        <v>10.64</v>
      </c>
      <c r="F43" s="7">
        <v>13.3</v>
      </c>
      <c r="G43" s="7"/>
      <c r="H43" s="9">
        <v>1.76E-4</v>
      </c>
      <c r="I43" s="9" t="s">
        <v>64</v>
      </c>
      <c r="J43" s="7"/>
      <c r="K43" s="7"/>
      <c r="L43" s="7">
        <v>0.19500000000000001</v>
      </c>
      <c r="M43" s="7">
        <v>0</v>
      </c>
      <c r="N43" s="7"/>
      <c r="O43" s="7"/>
      <c r="P43" s="9"/>
      <c r="Q43" s="7"/>
    </row>
    <row r="44" spans="1:17" x14ac:dyDescent="0.45">
      <c r="A44" s="1">
        <v>1.5</v>
      </c>
      <c r="B44" s="1">
        <v>0.60399999999999998</v>
      </c>
      <c r="C44" s="1">
        <v>3.1699999999999999E-2</v>
      </c>
      <c r="D44" s="7"/>
      <c r="E44" s="1">
        <v>6.14</v>
      </c>
      <c r="F44" s="1">
        <v>7.68</v>
      </c>
      <c r="G44" s="7"/>
      <c r="H44" s="8">
        <v>5.2700000000000002E-4</v>
      </c>
      <c r="I44" s="8" t="s">
        <v>65</v>
      </c>
      <c r="J44" s="1"/>
      <c r="K44" s="1"/>
      <c r="L44" s="1">
        <v>0.21199999999999999</v>
      </c>
      <c r="M44" s="1">
        <v>0</v>
      </c>
      <c r="N44" s="1"/>
      <c r="O44" s="7"/>
      <c r="P44" s="8"/>
      <c r="Q44" s="1"/>
    </row>
    <row r="45" spans="1:17" x14ac:dyDescent="0.45">
      <c r="A45" s="7">
        <v>15</v>
      </c>
      <c r="B45" s="7">
        <v>6.0449999999999999</v>
      </c>
      <c r="C45" s="7">
        <v>0.3165</v>
      </c>
      <c r="D45" s="7"/>
      <c r="E45" s="7">
        <v>1.94</v>
      </c>
      <c r="F45" s="7">
        <v>2.4300000000000002</v>
      </c>
      <c r="G45" s="7"/>
      <c r="H45" s="9">
        <v>5.0299999999999997E-3</v>
      </c>
      <c r="I45" s="9" t="s">
        <v>66</v>
      </c>
      <c r="J45" s="7"/>
      <c r="K45" s="7"/>
      <c r="L45" s="7">
        <v>0.193</v>
      </c>
      <c r="M45" s="7">
        <v>0</v>
      </c>
      <c r="N45" s="7"/>
      <c r="O45" s="7"/>
      <c r="P45" s="9"/>
      <c r="Q45" s="7"/>
    </row>
    <row r="46" spans="1:17" x14ac:dyDescent="0.45">
      <c r="A46" s="1">
        <v>30</v>
      </c>
      <c r="B46" s="1">
        <v>12.089</v>
      </c>
      <c r="C46" s="1">
        <v>0.63300000000000001</v>
      </c>
      <c r="D46" s="7"/>
      <c r="E46" s="1">
        <v>1.37</v>
      </c>
      <c r="F46" s="1">
        <v>1.72</v>
      </c>
      <c r="G46" s="7"/>
      <c r="H46" s="8">
        <v>9.6100000000000005E-3</v>
      </c>
      <c r="I46" s="8"/>
      <c r="J46" s="1"/>
      <c r="K46" s="1"/>
      <c r="L46" s="1">
        <v>0.20899999999999999</v>
      </c>
      <c r="M46" s="1">
        <v>0</v>
      </c>
      <c r="N46" s="1"/>
      <c r="O46" s="7"/>
      <c r="P46" s="8"/>
      <c r="Q46" s="1"/>
    </row>
    <row r="47" spans="1:17" x14ac:dyDescent="0.45">
      <c r="A47" s="7">
        <v>60</v>
      </c>
      <c r="B47" s="7">
        <v>24.178000000000001</v>
      </c>
      <c r="C47" s="7">
        <v>1.266</v>
      </c>
      <c r="D47" s="7"/>
      <c r="E47" s="7">
        <v>0.97</v>
      </c>
      <c r="F47" s="7">
        <v>1.21</v>
      </c>
      <c r="G47" s="7"/>
      <c r="H47" s="9">
        <v>1.7999999999999999E-2</v>
      </c>
      <c r="I47" s="9"/>
      <c r="J47" s="7"/>
      <c r="K47" s="7"/>
      <c r="L47" s="7">
        <v>0.217</v>
      </c>
      <c r="M47" s="7">
        <v>0</v>
      </c>
      <c r="N47" s="7"/>
      <c r="O47" s="7"/>
      <c r="P47" s="9"/>
      <c r="Q47" s="7"/>
    </row>
    <row r="48" spans="1:17" x14ac:dyDescent="0.45">
      <c r="A48" s="1">
        <v>90</v>
      </c>
      <c r="B48" s="1">
        <v>36.267000000000003</v>
      </c>
      <c r="C48" s="1">
        <v>1.899</v>
      </c>
      <c r="D48" s="7"/>
      <c r="E48" s="1">
        <v>0.79</v>
      </c>
      <c r="F48" s="1">
        <v>0.99</v>
      </c>
      <c r="G48" s="7"/>
      <c r="H48" s="8">
        <v>2.5499999999999998E-2</v>
      </c>
      <c r="I48" s="8"/>
      <c r="J48" s="1"/>
      <c r="K48" s="1"/>
      <c r="L48" s="1">
        <v>0.215</v>
      </c>
      <c r="M48" s="1">
        <v>0</v>
      </c>
      <c r="N48" s="1"/>
      <c r="O48" s="7"/>
      <c r="P48" s="8"/>
      <c r="Q48" s="1"/>
    </row>
    <row r="49" spans="1:17" x14ac:dyDescent="0.45">
      <c r="A49" s="7">
        <v>120</v>
      </c>
      <c r="B49" s="7">
        <v>48.356000000000002</v>
      </c>
      <c r="C49" s="7">
        <v>2.532</v>
      </c>
      <c r="D49" s="7"/>
      <c r="E49" s="7">
        <v>0.69</v>
      </c>
      <c r="F49" s="7">
        <v>0.86</v>
      </c>
      <c r="G49" s="7"/>
      <c r="H49" s="9">
        <v>3.2399999999999998E-2</v>
      </c>
      <c r="I49" s="9"/>
      <c r="J49" s="7"/>
      <c r="K49" s="7"/>
      <c r="L49" s="7">
        <v>0.22900000000000001</v>
      </c>
      <c r="M49" s="7">
        <v>0</v>
      </c>
      <c r="N49" s="7"/>
      <c r="O49" s="7"/>
      <c r="P49" s="9"/>
      <c r="Q49" s="7"/>
    </row>
    <row r="50" spans="1:17" x14ac:dyDescent="0.45">
      <c r="A50" s="1">
        <v>150</v>
      </c>
      <c r="B50" s="1">
        <v>60.445</v>
      </c>
      <c r="C50" s="1">
        <v>3.165</v>
      </c>
      <c r="D50" s="7"/>
      <c r="E50" s="1">
        <v>0.61</v>
      </c>
      <c r="F50" s="1">
        <v>0.77</v>
      </c>
      <c r="G50" s="7"/>
      <c r="H50" s="8">
        <v>3.9100000000000003E-2</v>
      </c>
      <c r="I50" s="8"/>
      <c r="J50" s="1"/>
      <c r="K50" s="1"/>
      <c r="L50" s="1">
        <v>0.249</v>
      </c>
      <c r="M50" s="1">
        <v>0</v>
      </c>
      <c r="N50" s="1"/>
      <c r="O50" s="7"/>
      <c r="P50" s="8"/>
      <c r="Q50" s="1"/>
    </row>
    <row r="51" spans="1:17" x14ac:dyDescent="0.45">
      <c r="A51" s="7">
        <v>250</v>
      </c>
      <c r="B51" s="7">
        <v>100.742</v>
      </c>
      <c r="C51" s="7">
        <v>5.2748999999999997</v>
      </c>
      <c r="D51" s="7"/>
      <c r="E51" s="7">
        <v>0.48</v>
      </c>
      <c r="F51" s="7">
        <v>0.59</v>
      </c>
      <c r="G51" s="7"/>
      <c r="H51" s="9">
        <v>5.8999999999999997E-2</v>
      </c>
      <c r="I51" s="9"/>
      <c r="J51" s="7"/>
      <c r="K51" s="7"/>
      <c r="L51" s="7">
        <v>0.26100000000000001</v>
      </c>
      <c r="M51" s="7">
        <v>0</v>
      </c>
      <c r="N51" s="7"/>
      <c r="O51" s="7"/>
      <c r="P51" s="9"/>
      <c r="Q51" s="7"/>
    </row>
    <row r="52" spans="1:17" x14ac:dyDescent="0.45">
      <c r="A52" s="1">
        <v>500</v>
      </c>
      <c r="B52" s="1">
        <v>201.48400000000001</v>
      </c>
      <c r="C52" s="1">
        <v>10.549899999999999</v>
      </c>
      <c r="D52" s="7"/>
      <c r="E52" s="1">
        <v>0.34</v>
      </c>
      <c r="F52" s="1">
        <v>0.42</v>
      </c>
      <c r="G52" s="7"/>
      <c r="H52" s="8">
        <v>0.104</v>
      </c>
      <c r="I52" s="8"/>
      <c r="J52" s="1"/>
      <c r="K52" s="1"/>
      <c r="L52" s="1">
        <v>0.26500000000000001</v>
      </c>
      <c r="M52" s="1">
        <v>0</v>
      </c>
      <c r="N52" s="1"/>
      <c r="O52" s="7"/>
      <c r="P52" s="8"/>
      <c r="Q52" s="1"/>
    </row>
    <row r="53" spans="1:17" x14ac:dyDescent="0.45">
      <c r="A53" s="7">
        <v>750</v>
      </c>
      <c r="B53" s="7">
        <v>302.226</v>
      </c>
      <c r="C53" s="7">
        <v>15.8248</v>
      </c>
      <c r="D53" s="7"/>
      <c r="E53" s="7">
        <v>0.27</v>
      </c>
      <c r="F53" s="7">
        <v>0.34</v>
      </c>
      <c r="G53" s="7"/>
      <c r="H53" s="9">
        <v>0.14499999999999999</v>
      </c>
      <c r="I53" s="9"/>
      <c r="J53" s="7"/>
      <c r="K53" s="7"/>
      <c r="L53" s="7">
        <v>0.27500000000000002</v>
      </c>
      <c r="M53" s="7">
        <v>0</v>
      </c>
      <c r="N53" s="7"/>
      <c r="O53" s="7"/>
      <c r="P53" s="9"/>
      <c r="Q53" s="7"/>
    </row>
    <row r="54" spans="1:17" x14ac:dyDescent="0.45">
      <c r="A54" s="1">
        <v>1000</v>
      </c>
      <c r="B54" s="1">
        <v>402.96699999999998</v>
      </c>
      <c r="C54" s="1">
        <v>21.099599999999999</v>
      </c>
      <c r="D54" s="7"/>
      <c r="E54" s="1">
        <v>0.24</v>
      </c>
      <c r="F54" s="1">
        <v>0.3</v>
      </c>
      <c r="G54" s="7"/>
      <c r="H54" s="8">
        <v>0.186</v>
      </c>
      <c r="I54" s="1"/>
      <c r="J54" s="1"/>
      <c r="K54" s="1"/>
      <c r="L54" s="1">
        <v>0</v>
      </c>
      <c r="M54" s="1">
        <v>0</v>
      </c>
      <c r="N54" s="1"/>
      <c r="O54" s="12"/>
      <c r="P54" s="12"/>
      <c r="Q54" s="1"/>
    </row>
  </sheetData>
  <mergeCells count="12">
    <mergeCell ref="D24:E24"/>
    <mergeCell ref="O38:P38"/>
    <mergeCell ref="D40:E40"/>
    <mergeCell ref="O54:P54"/>
    <mergeCell ref="O6:P6"/>
    <mergeCell ref="D7:E7"/>
    <mergeCell ref="D8:E8"/>
    <mergeCell ref="D23:E23"/>
    <mergeCell ref="G23:H23"/>
    <mergeCell ref="O23:P23"/>
    <mergeCell ref="D6:E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Zoccoli, Emma R</dc:creator>
  <cp:lastModifiedBy>Zoccoli, Emma R</cp:lastModifiedBy>
  <dcterms:created xsi:type="dcterms:W3CDTF">2026-01-07T08:49:24Z</dcterms:created>
  <dcterms:modified xsi:type="dcterms:W3CDTF">2026-01-07T09:08:37Z</dcterms:modified>
</cp:coreProperties>
</file>