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MCNP\emma-openmc\MCNP\"/>
    </mc:Choice>
  </mc:AlternateContent>
  <xr:revisionPtr revIDLastSave="0" documentId="13_ncr:1_{C487AFCC-C518-4DBE-A628-3BEED745DC7C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2" l="1"/>
  <c r="R4" i="2"/>
  <c r="J4" i="2"/>
  <c r="Q4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Y16" i="2"/>
  <c r="O16" i="2" s="1"/>
  <c r="P16" i="2" s="1"/>
  <c r="Y13" i="2"/>
  <c r="O13" i="2" s="1"/>
  <c r="P13" i="2" s="1"/>
  <c r="Y14" i="2"/>
  <c r="O14" i="2" s="1"/>
  <c r="P14" i="2" s="1"/>
  <c r="Y15" i="2"/>
  <c r="O15" i="2" s="1"/>
  <c r="P15" i="2" s="1"/>
  <c r="V13" i="2"/>
  <c r="V14" i="2"/>
  <c r="V15" i="2"/>
  <c r="V16" i="2"/>
  <c r="Y5" i="2"/>
  <c r="O5" i="2" s="1"/>
  <c r="P5" i="2" s="1"/>
  <c r="Y6" i="2"/>
  <c r="O6" i="2" s="1"/>
  <c r="P6" i="2" s="1"/>
  <c r="Y7" i="2"/>
  <c r="O7" i="2" s="1"/>
  <c r="P7" i="2" s="1"/>
  <c r="Y8" i="2"/>
  <c r="O8" i="2" s="1"/>
  <c r="P8" i="2" s="1"/>
  <c r="Y9" i="2"/>
  <c r="O9" i="2" s="1"/>
  <c r="P9" i="2" s="1"/>
  <c r="Y10" i="2"/>
  <c r="O10" i="2" s="1"/>
  <c r="P10" i="2" s="1"/>
  <c r="Y11" i="2"/>
  <c r="O11" i="2" s="1"/>
  <c r="P11" i="2" s="1"/>
  <c r="Y12" i="2"/>
  <c r="O12" i="2" s="1"/>
  <c r="P12" i="2" s="1"/>
  <c r="Y4" i="2"/>
  <c r="O4" i="2" s="1"/>
  <c r="V5" i="2"/>
  <c r="V6" i="2"/>
  <c r="V7" i="2"/>
  <c r="V8" i="2"/>
  <c r="V9" i="2"/>
  <c r="V10" i="2"/>
  <c r="V11" i="2"/>
  <c r="V12" i="2"/>
  <c r="V4" i="2"/>
  <c r="F26" i="2"/>
  <c r="F28" i="2" s="1"/>
  <c r="B5" i="2" s="1"/>
  <c r="F27" i="2"/>
  <c r="F29" i="2" s="1"/>
  <c r="C15" i="2" s="1"/>
  <c r="C5" i="2" l="1"/>
  <c r="C10" i="2"/>
  <c r="C4" i="2"/>
  <c r="C6" i="2"/>
  <c r="C7" i="2"/>
  <c r="C8" i="2"/>
  <c r="C11" i="2"/>
  <c r="C12" i="2"/>
  <c r="C14" i="2"/>
  <c r="C16" i="2"/>
  <c r="C9" i="2"/>
  <c r="C13" i="2"/>
  <c r="W15" i="2"/>
  <c r="X11" i="2"/>
  <c r="W14" i="2"/>
  <c r="W13" i="2"/>
  <c r="X4" i="2"/>
  <c r="X16" i="2"/>
  <c r="X12" i="2"/>
  <c r="X9" i="2"/>
  <c r="X7" i="2"/>
  <c r="X6" i="2"/>
  <c r="W10" i="2"/>
  <c r="X15" i="2"/>
  <c r="X13" i="2"/>
  <c r="X8" i="2"/>
  <c r="X5" i="2"/>
  <c r="W16" i="2"/>
  <c r="X14" i="2"/>
  <c r="X10" i="2"/>
  <c r="Q13" i="2"/>
  <c r="S13" i="2" s="1"/>
  <c r="W12" i="2"/>
  <c r="Q12" i="2" s="1"/>
  <c r="W11" i="2"/>
  <c r="W9" i="2"/>
  <c r="W8" i="2"/>
  <c r="W7" i="2"/>
  <c r="W6" i="2"/>
  <c r="W5" i="2"/>
  <c r="W4" i="2"/>
  <c r="B13" i="2"/>
  <c r="B15" i="2"/>
  <c r="B14" i="2"/>
  <c r="B16" i="2"/>
  <c r="B12" i="2"/>
  <c r="B11" i="2"/>
  <c r="B8" i="2"/>
  <c r="B6" i="2"/>
  <c r="B10" i="2"/>
  <c r="B7" i="2"/>
  <c r="B4" i="2"/>
  <c r="B9" i="2"/>
  <c r="S4" i="2" l="1"/>
  <c r="Q6" i="2"/>
  <c r="S6" i="2" s="1"/>
  <c r="Q5" i="2"/>
  <c r="S5" i="2" s="1"/>
  <c r="Q9" i="2"/>
  <c r="S9" i="2" s="1"/>
  <c r="Q11" i="2"/>
  <c r="S11" i="2" s="1"/>
  <c r="Q10" i="2"/>
  <c r="Q7" i="2"/>
  <c r="S7" i="2" s="1"/>
  <c r="S12" i="2"/>
  <c r="S10" i="2"/>
  <c r="Q8" i="2"/>
  <c r="S8" i="2" s="1"/>
</calcChain>
</file>

<file path=xl/sharedStrings.xml><?xml version="1.0" encoding="utf-8"?>
<sst xmlns="http://schemas.openxmlformats.org/spreadsheetml/2006/main" count="47" uniqueCount="45">
  <si>
    <t>BISO vol%</t>
  </si>
  <si>
    <t>Fertile kg/m3</t>
  </si>
  <si>
    <t>BISO/cm3</t>
  </si>
  <si>
    <t>A</t>
  </si>
  <si>
    <t>B</t>
  </si>
  <si>
    <t>C</t>
  </si>
  <si>
    <t>HELPERS</t>
  </si>
  <si>
    <t>RESULTS</t>
  </si>
  <si>
    <t>Value</t>
  </si>
  <si>
    <t>Name</t>
  </si>
  <si>
    <t>V_biso</t>
  </si>
  <si>
    <t>V_uo2</t>
  </si>
  <si>
    <t>F1</t>
  </si>
  <si>
    <t>F2</t>
  </si>
  <si>
    <t>rho_uo2</t>
  </si>
  <si>
    <t>N_biso_B</t>
  </si>
  <si>
    <t>N_biso_C</t>
  </si>
  <si>
    <t>t_inboard</t>
  </si>
  <si>
    <t>t_outboard</t>
  </si>
  <si>
    <t>U_at</t>
  </si>
  <si>
    <t>b1 [cm]</t>
  </si>
  <si>
    <t>b2 [cm]</t>
  </si>
  <si>
    <t>V_breeder</t>
  </si>
  <si>
    <t>VARIABLES</t>
  </si>
  <si>
    <t>What MCNP tallies (green) give you are σ ϕ so this spreadsheet is to multiply by N</t>
  </si>
  <si>
    <t>I just multiply by the number of U-238 atoms in the whole system</t>
  </si>
  <si>
    <t>So my results (gold) are the total number of U-238 (n,g) reactions in the model per src-n</t>
  </si>
  <si>
    <t>at/b</t>
  </si>
  <si>
    <t>The MCNP reaction rate is R = N σ  ϕ = (at/b/cm) (b/at) (1/cm2/src-n) = rxns/cm3/src-n</t>
  </si>
  <si>
    <t>This is so I don't have to bother normalizing by different volumes between A, B, and C</t>
  </si>
  <si>
    <t>breeding region</t>
  </si>
  <si>
    <t>biso spheres</t>
  </si>
  <si>
    <t>Total vol [cc] in model of…</t>
  </si>
  <si>
    <t>error</t>
  </si>
  <si>
    <t>uo2 spheres</t>
  </si>
  <si>
    <t>A -&gt; B</t>
  </si>
  <si>
    <t>Factor change</t>
  </si>
  <si>
    <t>A -&gt; C</t>
  </si>
  <si>
    <t>Raw tally  [b/at]*[1/cm2/src-n]</t>
  </si>
  <si>
    <t>Rate [rxns/src-n]</t>
  </si>
  <si>
    <t>U-238 atoms in model</t>
  </si>
  <si>
    <t>D-shape</t>
  </si>
  <si>
    <t>D-inboard</t>
  </si>
  <si>
    <t>D-outboard</t>
  </si>
  <si>
    <t>C*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</si>
</sst>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00E+00"/>
    <numFmt numFmtId="167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11" fontId="0" fillId="0" borderId="0" xfId="0" applyNumberFormat="1"/>
    <xf numFmtId="0" fontId="0" fillId="3" borderId="0" xfId="0" applyFill="1"/>
    <xf numFmtId="0" fontId="0" fillId="4" borderId="0" xfId="0" applyFill="1"/>
    <xf numFmtId="11" fontId="0" fillId="4" borderId="0" xfId="0" applyNumberFormat="1" applyFill="1"/>
    <xf numFmtId="2" fontId="0" fillId="4" borderId="0" xfId="0" applyNumberFormat="1" applyFill="1"/>
    <xf numFmtId="0" fontId="1" fillId="2" borderId="0" xfId="0" applyFont="1" applyFill="1"/>
    <xf numFmtId="0" fontId="0" fillId="5" borderId="0" xfId="0" applyFill="1"/>
    <xf numFmtId="0" fontId="0" fillId="6" borderId="0" xfId="0" applyFill="1"/>
    <xf numFmtId="164" fontId="0" fillId="4" borderId="0" xfId="0" applyNumberFormat="1" applyFill="1"/>
    <xf numFmtId="165" fontId="0" fillId="4" borderId="0" xfId="0" applyNumberFormat="1" applyFill="1"/>
    <xf numFmtId="1" fontId="0" fillId="4" borderId="0" xfId="0" applyNumberFormat="1" applyFill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2" fontId="0" fillId="0" borderId="0" xfId="0" applyNumberFormat="1"/>
    <xf numFmtId="167" fontId="0" fillId="0" borderId="0" xfId="0" applyNumberFormat="1"/>
    <xf numFmtId="167" fontId="0" fillId="4" borderId="0" xfId="0" applyNumberFormat="1" applyFill="1"/>
    <xf numFmtId="166" fontId="0" fillId="4" borderId="0" xfId="0" applyNumberFormat="1" applyFill="1"/>
    <xf numFmtId="0" fontId="0" fillId="7" borderId="0" xfId="0" applyFill="1"/>
    <xf numFmtId="0" fontId="0" fillId="8" borderId="0" xfId="0" applyFill="1"/>
    <xf numFmtId="11" fontId="0" fillId="9" borderId="0" xfId="0" applyNumberFormat="1" applyFill="1"/>
    <xf numFmtId="166" fontId="0" fillId="9" borderId="0" xfId="0" applyNumberFormat="1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FC2A7-2007-48F8-8A3D-08B47124466B}">
  <dimension ref="A1:Y36"/>
  <sheetViews>
    <sheetView tabSelected="1" zoomScale="130" zoomScaleNormal="130" workbookViewId="0">
      <selection activeCell="L8" sqref="L8"/>
    </sheetView>
  </sheetViews>
  <sheetFormatPr defaultRowHeight="14.4" x14ac:dyDescent="0.3"/>
  <cols>
    <col min="1" max="1" width="12.33203125" customWidth="1"/>
    <col min="2" max="3" width="8.88671875" customWidth="1"/>
    <col min="4" max="4" width="1.88671875" customWidth="1"/>
    <col min="5" max="6" width="8" customWidth="1"/>
    <col min="7" max="7" width="2.109375" customWidth="1"/>
    <col min="8" max="8" width="9.21875" customWidth="1"/>
    <col min="9" max="9" width="9" customWidth="1"/>
    <col min="10" max="11" width="10.44140625" customWidth="1"/>
    <col min="12" max="12" width="10.88671875" customWidth="1"/>
    <col min="13" max="13" width="1.77734375" customWidth="1"/>
    <col min="14" max="14" width="10.44140625" customWidth="1"/>
    <col min="15" max="16" width="13.109375" customWidth="1"/>
    <col min="17" max="17" width="11.5546875" customWidth="1"/>
    <col min="18" max="18" width="13.6640625" customWidth="1"/>
    <col min="19" max="19" width="9.44140625" customWidth="1"/>
    <col min="20" max="20" width="8.33203125" customWidth="1"/>
    <col min="21" max="21" width="2.77734375" customWidth="1"/>
    <col min="25" max="25" width="10.88671875" customWidth="1"/>
  </cols>
  <sheetData>
    <row r="1" spans="1:25" x14ac:dyDescent="0.3">
      <c r="H1" s="1" t="s">
        <v>7</v>
      </c>
      <c r="V1" s="1" t="s">
        <v>6</v>
      </c>
    </row>
    <row r="2" spans="1:25" x14ac:dyDescent="0.3">
      <c r="H2" s="9" t="s">
        <v>38</v>
      </c>
      <c r="I2" s="9"/>
      <c r="J2" s="9"/>
      <c r="K2" s="9"/>
      <c r="L2" s="9"/>
      <c r="M2" s="9"/>
      <c r="N2" s="3" t="s">
        <v>39</v>
      </c>
      <c r="O2" s="3"/>
      <c r="P2" s="3"/>
      <c r="Q2" s="3"/>
      <c r="R2" s="3"/>
      <c r="S2" s="21" t="s">
        <v>36</v>
      </c>
      <c r="T2" s="21"/>
      <c r="V2" s="22" t="s">
        <v>32</v>
      </c>
      <c r="W2" s="22"/>
      <c r="X2" s="22"/>
      <c r="Y2" s="8" t="s">
        <v>40</v>
      </c>
    </row>
    <row r="3" spans="1:25" s="7" customFormat="1" x14ac:dyDescent="0.3">
      <c r="A3" s="7" t="s">
        <v>1</v>
      </c>
      <c r="B3" s="7" t="s">
        <v>2</v>
      </c>
      <c r="C3" s="7" t="s">
        <v>0</v>
      </c>
      <c r="E3" s="7" t="s">
        <v>20</v>
      </c>
      <c r="F3" s="7" t="s">
        <v>21</v>
      </c>
      <c r="H3" s="7" t="s">
        <v>3</v>
      </c>
      <c r="I3" s="7" t="s">
        <v>4</v>
      </c>
      <c r="J3" s="7" t="s">
        <v>44</v>
      </c>
      <c r="K3" s="7" t="s">
        <v>42</v>
      </c>
      <c r="L3" s="7" t="s">
        <v>43</v>
      </c>
      <c r="N3" s="7" t="s">
        <v>41</v>
      </c>
      <c r="O3" s="7" t="s">
        <v>3</v>
      </c>
      <c r="Q3" s="7" t="s">
        <v>4</v>
      </c>
      <c r="R3" s="7" t="s">
        <v>5</v>
      </c>
      <c r="S3" s="7" t="s">
        <v>35</v>
      </c>
      <c r="T3" s="7" t="s">
        <v>37</v>
      </c>
      <c r="V3" s="7" t="s">
        <v>30</v>
      </c>
      <c r="W3" s="7" t="s">
        <v>31</v>
      </c>
      <c r="X3" s="7" t="s">
        <v>34</v>
      </c>
      <c r="Y3" s="7" t="s">
        <v>27</v>
      </c>
    </row>
    <row r="4" spans="1:25" x14ac:dyDescent="0.3">
      <c r="A4">
        <v>0.1</v>
      </c>
      <c r="B4" s="13">
        <f t="shared" ref="B4:B16" si="0">A4*$F$28</f>
        <v>4.0296735505064935E-2</v>
      </c>
      <c r="C4" s="14">
        <f t="shared" ref="C4:C16" si="1">A4*$F$29</f>
        <v>5.235987755982989E-3</v>
      </c>
      <c r="E4" s="17">
        <v>16.925262</v>
      </c>
      <c r="F4" s="17">
        <v>21.167425000000001</v>
      </c>
      <c r="G4" s="2"/>
      <c r="H4" s="2">
        <v>6.3275099999999997E-3</v>
      </c>
      <c r="I4" s="2">
        <v>4.6886599999999999E-3</v>
      </c>
      <c r="J4" s="2">
        <f>5.30769/2000</f>
        <v>2.6538450000000002E-3</v>
      </c>
      <c r="K4" s="2">
        <v>1.43862E-5</v>
      </c>
      <c r="L4" s="2">
        <v>2.7191699999999999E-5</v>
      </c>
      <c r="M4" s="2"/>
      <c r="N4" s="23">
        <f>(K4*135.4503007 + L4*385.1618156)/(135.4503007+385.1618156)</f>
        <v>2.3860027971425183E-5</v>
      </c>
      <c r="O4" s="24">
        <f t="shared" ref="O4:O16" si="2">H4*Y4</f>
        <v>2.3036288271325299E-5</v>
      </c>
      <c r="P4" s="24">
        <f>O4/N4/2000</f>
        <v>4.8273808184369282E-4</v>
      </c>
      <c r="Q4" s="16">
        <f>Y4*I4</f>
        <v>1.7069798920307052E-5</v>
      </c>
      <c r="R4" s="16">
        <f>J4*Y4</f>
        <v>9.6617371521207075E-6</v>
      </c>
      <c r="S4" s="17">
        <f t="shared" ref="S4:S13" si="3">Q4/O4</f>
        <v>0.74099606322234179</v>
      </c>
      <c r="V4" s="18">
        <f t="shared" ref="V4:V16" si="4">E4*$F$33+F4*$F$34</f>
        <v>2497.36564</v>
      </c>
      <c r="W4" s="17">
        <f t="shared" ref="W4:W16" si="5">$F$27*$F$30</f>
        <v>1.0471975511965979</v>
      </c>
      <c r="X4" s="17">
        <f t="shared" ref="X4:X16" si="6">$F$26*$F$30</f>
        <v>0.53616514621265809</v>
      </c>
      <c r="Y4" s="2">
        <f t="shared" ref="Y4:Y16" si="7">$F$30*$F$35*1E-24</f>
        <v>3.6406561619539597E-3</v>
      </c>
    </row>
    <row r="5" spans="1:25" s="4" customFormat="1" x14ac:dyDescent="0.3">
      <c r="A5" s="4">
        <v>0.5</v>
      </c>
      <c r="B5" s="10">
        <f t="shared" si="0"/>
        <v>0.20148367752532464</v>
      </c>
      <c r="C5" s="11">
        <f t="shared" si="1"/>
        <v>2.6179938779914945E-2</v>
      </c>
      <c r="E5" s="6">
        <v>7.5692069999999996</v>
      </c>
      <c r="F5" s="6">
        <v>9.4663599999999999</v>
      </c>
      <c r="G5" s="5"/>
      <c r="H5" s="5">
        <v>3.1365299999999999E-2</v>
      </c>
      <c r="I5" s="5">
        <v>5.72063E-3</v>
      </c>
      <c r="J5" s="5">
        <v>34.062800000000003</v>
      </c>
      <c r="K5" s="5"/>
      <c r="L5" s="5"/>
      <c r="M5" s="5"/>
      <c r="N5" s="5">
        <f t="shared" ref="N5:N16" si="8">(K5*135.4503007 + L5*385.1618156)/(135.4503007+385.1618156)</f>
        <v>0</v>
      </c>
      <c r="O5" s="20">
        <f t="shared" si="2"/>
        <v>1.1419027271653452E-4</v>
      </c>
      <c r="P5" s="24" t="e">
        <f t="shared" ref="P5:P16" si="9">O5/N5</f>
        <v>#DIV/0!</v>
      </c>
      <c r="Q5" s="20">
        <f t="shared" ref="Q5:Q13" si="10">Y5*I5*W5/X5</f>
        <v>4.0677435272966173E-5</v>
      </c>
      <c r="S5" s="6">
        <f t="shared" si="3"/>
        <v>0.35622504706634406</v>
      </c>
      <c r="V5" s="19">
        <f t="shared" si="4"/>
        <v>1116.8558350000001</v>
      </c>
      <c r="W5" s="6">
        <f t="shared" si="5"/>
        <v>1.0471975511965979</v>
      </c>
      <c r="X5" s="6">
        <f t="shared" si="6"/>
        <v>0.53616514621265809</v>
      </c>
      <c r="Y5" s="5">
        <f t="shared" si="7"/>
        <v>3.6406561619539597E-3</v>
      </c>
    </row>
    <row r="6" spans="1:25" x14ac:dyDescent="0.3">
      <c r="A6">
        <v>1.5</v>
      </c>
      <c r="B6" s="13">
        <f t="shared" si="0"/>
        <v>0.60445103257597399</v>
      </c>
      <c r="C6" s="14">
        <f t="shared" si="1"/>
        <v>7.8539816339744828E-2</v>
      </c>
      <c r="E6" s="17">
        <v>4.3700840000000003</v>
      </c>
      <c r="F6" s="17">
        <v>5.4654059999999998</v>
      </c>
      <c r="G6" s="2"/>
      <c r="H6" s="2">
        <v>9.3680399999999997E-2</v>
      </c>
      <c r="I6" s="2">
        <v>1.5713600000000001E-2</v>
      </c>
      <c r="J6" s="2"/>
      <c r="K6" s="2"/>
      <c r="L6" s="2"/>
      <c r="M6" s="2"/>
      <c r="N6" s="2">
        <f t="shared" si="8"/>
        <v>0</v>
      </c>
      <c r="O6" s="16">
        <f t="shared" si="2"/>
        <v>3.4105812551431171E-4</v>
      </c>
      <c r="P6" s="24" t="e">
        <f t="shared" si="9"/>
        <v>#DIV/0!</v>
      </c>
      <c r="Q6" s="16">
        <f t="shared" si="10"/>
        <v>1.1173401302046825E-4</v>
      </c>
      <c r="R6" s="15"/>
      <c r="S6" s="17">
        <f t="shared" si="3"/>
        <v>0.32760988424472998</v>
      </c>
      <c r="V6" s="18">
        <f t="shared" si="4"/>
        <v>644.81707199999994</v>
      </c>
      <c r="W6" s="17">
        <f t="shared" si="5"/>
        <v>1.0471975511965979</v>
      </c>
      <c r="X6" s="17">
        <f t="shared" si="6"/>
        <v>0.53616514621265809</v>
      </c>
      <c r="Y6" s="2">
        <f t="shared" si="7"/>
        <v>3.6406561619539597E-3</v>
      </c>
    </row>
    <row r="7" spans="1:25" s="4" customFormat="1" x14ac:dyDescent="0.3">
      <c r="A7" s="4">
        <v>15</v>
      </c>
      <c r="B7" s="10">
        <f t="shared" si="0"/>
        <v>6.044510325759739</v>
      </c>
      <c r="C7" s="11">
        <f t="shared" si="1"/>
        <v>0.78539816339744839</v>
      </c>
      <c r="E7" s="6">
        <v>1.381942</v>
      </c>
      <c r="F7" s="6">
        <v>1.728313</v>
      </c>
      <c r="G7" s="5"/>
      <c r="H7" s="5">
        <v>0.88422999999999996</v>
      </c>
      <c r="I7" s="5">
        <v>0.171041</v>
      </c>
      <c r="J7" s="5"/>
      <c r="K7" s="5"/>
      <c r="L7" s="5"/>
      <c r="M7" s="5"/>
      <c r="N7" s="5">
        <f t="shared" si="8"/>
        <v>0</v>
      </c>
      <c r="O7" s="20">
        <f t="shared" si="2"/>
        <v>3.2191773980845498E-3</v>
      </c>
      <c r="P7" s="24" t="e">
        <f t="shared" si="9"/>
        <v>#DIV/0!</v>
      </c>
      <c r="Q7" s="20">
        <f t="shared" si="10"/>
        <v>1.2162138097593109E-3</v>
      </c>
      <c r="R7" s="12"/>
      <c r="S7" s="6">
        <f t="shared" si="3"/>
        <v>0.37780266799927614</v>
      </c>
      <c r="V7" s="19">
        <f t="shared" si="4"/>
        <v>203.90905599999999</v>
      </c>
      <c r="W7" s="6">
        <f t="shared" si="5"/>
        <v>1.0471975511965979</v>
      </c>
      <c r="X7" s="6">
        <f t="shared" si="6"/>
        <v>0.53616514621265809</v>
      </c>
      <c r="Y7" s="5">
        <f t="shared" si="7"/>
        <v>3.6406561619539597E-3</v>
      </c>
    </row>
    <row r="8" spans="1:25" x14ac:dyDescent="0.3">
      <c r="A8">
        <v>30</v>
      </c>
      <c r="B8" s="13">
        <f t="shared" si="0"/>
        <v>12.089020651519478</v>
      </c>
      <c r="C8" s="14">
        <f t="shared" si="1"/>
        <v>1.5707963267948968</v>
      </c>
      <c r="E8" s="17">
        <v>0.97718000000000005</v>
      </c>
      <c r="F8" s="17">
        <v>1.222102</v>
      </c>
      <c r="G8" s="2"/>
      <c r="H8" s="2">
        <v>1.69879</v>
      </c>
      <c r="I8" s="2">
        <v>0.34856799999999999</v>
      </c>
      <c r="J8" s="2"/>
      <c r="K8" s="2"/>
      <c r="L8" s="2"/>
      <c r="M8" s="2"/>
      <c r="N8" s="2">
        <f t="shared" si="8"/>
        <v>0</v>
      </c>
      <c r="O8" s="16">
        <f t="shared" si="2"/>
        <v>6.184710281365767E-3</v>
      </c>
      <c r="P8" s="24" t="e">
        <f t="shared" si="9"/>
        <v>#DIV/0!</v>
      </c>
      <c r="Q8" s="16">
        <f t="shared" si="10"/>
        <v>2.4785473380077496E-3</v>
      </c>
      <c r="R8" s="15"/>
      <c r="S8" s="17">
        <f t="shared" si="3"/>
        <v>0.40075399254763683</v>
      </c>
      <c r="V8" s="18">
        <f t="shared" si="4"/>
        <v>144.18546400000002</v>
      </c>
      <c r="W8" s="17">
        <f t="shared" si="5"/>
        <v>1.0471975511965979</v>
      </c>
      <c r="X8" s="17">
        <f t="shared" si="6"/>
        <v>0.53616514621265809</v>
      </c>
      <c r="Y8" s="2">
        <f t="shared" si="7"/>
        <v>3.6406561619539597E-3</v>
      </c>
    </row>
    <row r="9" spans="1:25" s="4" customFormat="1" x14ac:dyDescent="0.3">
      <c r="A9" s="4">
        <v>60</v>
      </c>
      <c r="B9" s="10">
        <f t="shared" si="0"/>
        <v>24.178041303038956</v>
      </c>
      <c r="C9" s="11">
        <f t="shared" si="1"/>
        <v>3.1415926535897936</v>
      </c>
      <c r="E9" s="6">
        <v>0.690971</v>
      </c>
      <c r="F9" s="6">
        <v>0.86415600000000004</v>
      </c>
      <c r="G9" s="5"/>
      <c r="H9" s="5">
        <v>3.14215</v>
      </c>
      <c r="I9" s="5">
        <v>0.66891699999999998</v>
      </c>
      <c r="J9" s="5"/>
      <c r="K9" s="5"/>
      <c r="L9" s="5"/>
      <c r="M9" s="5"/>
      <c r="N9" s="5">
        <f t="shared" si="8"/>
        <v>0</v>
      </c>
      <c r="O9" s="20">
        <f t="shared" si="2"/>
        <v>1.1439487759283634E-2</v>
      </c>
      <c r="P9" s="24" t="e">
        <f t="shared" si="9"/>
        <v>#DIV/0!</v>
      </c>
      <c r="Q9" s="20">
        <f t="shared" si="10"/>
        <v>4.7564390583706186E-3</v>
      </c>
      <c r="R9" s="12"/>
      <c r="S9" s="6">
        <f t="shared" si="3"/>
        <v>0.41579126255111942</v>
      </c>
      <c r="V9" s="19">
        <f t="shared" si="4"/>
        <v>101.954487</v>
      </c>
      <c r="W9" s="6">
        <f t="shared" si="5"/>
        <v>1.0471975511965979</v>
      </c>
      <c r="X9" s="6">
        <f t="shared" si="6"/>
        <v>0.53616514621265809</v>
      </c>
      <c r="Y9" s="5">
        <f t="shared" si="7"/>
        <v>3.6406561619539597E-3</v>
      </c>
    </row>
    <row r="10" spans="1:25" x14ac:dyDescent="0.3">
      <c r="A10">
        <v>90</v>
      </c>
      <c r="B10" s="13">
        <f t="shared" si="0"/>
        <v>36.267061954558436</v>
      </c>
      <c r="C10" s="14">
        <f t="shared" si="1"/>
        <v>4.7123889803846897</v>
      </c>
      <c r="E10" s="17">
        <v>0.56417499999999998</v>
      </c>
      <c r="F10" s="17">
        <v>0.70558100000000001</v>
      </c>
      <c r="G10" s="2"/>
      <c r="H10" s="2">
        <v>4.6743499999999996</v>
      </c>
      <c r="I10" s="2">
        <v>0.94182200000000005</v>
      </c>
      <c r="J10" s="2"/>
      <c r="K10" s="2"/>
      <c r="L10" s="2"/>
      <c r="M10" s="2"/>
      <c r="N10" s="2">
        <f t="shared" si="8"/>
        <v>0</v>
      </c>
      <c r="O10" s="16">
        <f t="shared" si="2"/>
        <v>1.701770113062949E-2</v>
      </c>
      <c r="P10" s="24" t="e">
        <f t="shared" si="9"/>
        <v>#DIV/0!</v>
      </c>
      <c r="Q10" s="16">
        <f t="shared" si="10"/>
        <v>6.6969727886011772E-3</v>
      </c>
      <c r="R10" s="15"/>
      <c r="S10" s="17">
        <f t="shared" si="3"/>
        <v>0.39352981564281675</v>
      </c>
      <c r="V10" s="18">
        <f t="shared" si="4"/>
        <v>83.245516999999992</v>
      </c>
      <c r="W10" s="17">
        <f t="shared" si="5"/>
        <v>1.0471975511965979</v>
      </c>
      <c r="X10" s="17">
        <f t="shared" si="6"/>
        <v>0.53616514621265809</v>
      </c>
      <c r="Y10" s="2">
        <f t="shared" si="7"/>
        <v>3.6406561619539597E-3</v>
      </c>
    </row>
    <row r="11" spans="1:25" s="4" customFormat="1" x14ac:dyDescent="0.3">
      <c r="A11" s="4">
        <v>120</v>
      </c>
      <c r="B11" s="10">
        <f t="shared" si="0"/>
        <v>48.356082606077912</v>
      </c>
      <c r="C11" s="11">
        <f t="shared" si="1"/>
        <v>6.2831853071795871</v>
      </c>
      <c r="E11" s="6">
        <v>0.48859000000000002</v>
      </c>
      <c r="F11" s="6">
        <v>0.61105100000000001</v>
      </c>
      <c r="G11" s="5"/>
      <c r="H11" s="5">
        <v>5.6401399999999997</v>
      </c>
      <c r="I11" s="5">
        <v>1.3438600000000001</v>
      </c>
      <c r="J11" s="5"/>
      <c r="K11" s="5"/>
      <c r="L11" s="5"/>
      <c r="M11" s="5"/>
      <c r="N11" s="5">
        <f t="shared" si="8"/>
        <v>0</v>
      </c>
      <c r="O11" s="20">
        <f t="shared" si="2"/>
        <v>2.0533810445283004E-2</v>
      </c>
      <c r="P11" s="24" t="e">
        <f t="shared" si="9"/>
        <v>#DIV/0!</v>
      </c>
      <c r="Q11" s="20">
        <f t="shared" si="10"/>
        <v>9.5557269332098606E-3</v>
      </c>
      <c r="R11" s="12"/>
      <c r="S11" s="6">
        <f t="shared" si="3"/>
        <v>0.46536549846280417</v>
      </c>
      <c r="V11" s="19">
        <f t="shared" si="4"/>
        <v>72.092732000000012</v>
      </c>
      <c r="W11" s="6">
        <f t="shared" si="5"/>
        <v>1.0471975511965979</v>
      </c>
      <c r="X11" s="6">
        <f t="shared" si="6"/>
        <v>0.53616514621265809</v>
      </c>
      <c r="Y11" s="5">
        <f t="shared" si="7"/>
        <v>3.6406561619539597E-3</v>
      </c>
    </row>
    <row r="12" spans="1:25" x14ac:dyDescent="0.3">
      <c r="A12">
        <v>150</v>
      </c>
      <c r="B12" s="13">
        <f t="shared" si="0"/>
        <v>60.445103257597395</v>
      </c>
      <c r="C12" s="14">
        <f t="shared" si="1"/>
        <v>7.8539816339744837</v>
      </c>
      <c r="E12" s="17">
        <v>0.43700800000000001</v>
      </c>
      <c r="F12" s="17">
        <v>0.54654100000000005</v>
      </c>
      <c r="G12" s="2"/>
      <c r="H12" s="2">
        <v>6.76478</v>
      </c>
      <c r="I12" s="2">
        <v>1.6468700000000001</v>
      </c>
      <c r="J12" s="2"/>
      <c r="K12" s="2">
        <v>1.53668E-2</v>
      </c>
      <c r="L12" s="2">
        <v>2.9005699999999999E-2</v>
      </c>
      <c r="M12" s="2"/>
      <c r="N12" s="23">
        <f t="shared" si="8"/>
        <v>2.5457198057043526E-2</v>
      </c>
      <c r="O12" s="24">
        <f t="shared" si="2"/>
        <v>2.4628237991262909E-2</v>
      </c>
      <c r="P12" s="25">
        <f t="shared" si="9"/>
        <v>0.9674371050606938</v>
      </c>
      <c r="Q12" s="16">
        <f t="shared" si="10"/>
        <v>1.1710326979369369E-2</v>
      </c>
      <c r="R12" s="15"/>
      <c r="S12" s="17">
        <f t="shared" si="3"/>
        <v>0.47548375094977208</v>
      </c>
      <c r="V12" s="18">
        <f t="shared" si="4"/>
        <v>64.481722000000005</v>
      </c>
      <c r="W12" s="17">
        <f t="shared" si="5"/>
        <v>1.0471975511965979</v>
      </c>
      <c r="X12" s="17">
        <f t="shared" si="6"/>
        <v>0.53616514621265809</v>
      </c>
      <c r="Y12" s="2">
        <f t="shared" si="7"/>
        <v>3.6406561619539597E-3</v>
      </c>
    </row>
    <row r="13" spans="1:25" s="4" customFormat="1" x14ac:dyDescent="0.3">
      <c r="A13" s="4">
        <v>250</v>
      </c>
      <c r="B13" s="10">
        <f t="shared" si="0"/>
        <v>100.74183876266233</v>
      </c>
      <c r="C13" s="11">
        <f t="shared" si="1"/>
        <v>13.089969389957473</v>
      </c>
      <c r="E13" s="6">
        <v>0.338505</v>
      </c>
      <c r="F13" s="6">
        <v>0.423348</v>
      </c>
      <c r="G13" s="5"/>
      <c r="H13" s="5">
        <v>10.1747</v>
      </c>
      <c r="I13" s="5">
        <v>2.6552899999999999</v>
      </c>
      <c r="J13" s="5"/>
      <c r="K13" s="5"/>
      <c r="L13" s="5"/>
      <c r="M13" s="5"/>
      <c r="N13" s="5">
        <f t="shared" si="8"/>
        <v>0</v>
      </c>
      <c r="O13" s="20">
        <f t="shared" si="2"/>
        <v>3.7042584251032955E-2</v>
      </c>
      <c r="P13" s="24" t="e">
        <f t="shared" si="9"/>
        <v>#DIV/0!</v>
      </c>
      <c r="Q13" s="20">
        <f t="shared" si="10"/>
        <v>1.8880855273974081E-2</v>
      </c>
      <c r="R13" s="12"/>
      <c r="S13" s="6">
        <f t="shared" si="3"/>
        <v>0.50970675118185305</v>
      </c>
      <c r="V13" s="19">
        <f t="shared" si="4"/>
        <v>49.947261000000005</v>
      </c>
      <c r="W13" s="6">
        <f t="shared" si="5"/>
        <v>1.0471975511965979</v>
      </c>
      <c r="X13" s="6">
        <f t="shared" si="6"/>
        <v>0.53616514621265809</v>
      </c>
      <c r="Y13" s="5">
        <f t="shared" si="7"/>
        <v>3.6406561619539597E-3</v>
      </c>
    </row>
    <row r="14" spans="1:25" x14ac:dyDescent="0.3">
      <c r="A14">
        <v>500</v>
      </c>
      <c r="B14" s="13">
        <f t="shared" si="0"/>
        <v>201.48367752532465</v>
      </c>
      <c r="C14" s="14">
        <f t="shared" si="1"/>
        <v>26.179938779914945</v>
      </c>
      <c r="E14" s="17">
        <v>0.23935899999999999</v>
      </c>
      <c r="F14" s="17">
        <v>0.29935299999999998</v>
      </c>
      <c r="G14" s="2"/>
      <c r="H14" s="2">
        <v>17.6343</v>
      </c>
      <c r="I14" s="2"/>
      <c r="J14" s="2"/>
      <c r="K14" s="2"/>
      <c r="L14" s="2"/>
      <c r="M14" s="2"/>
      <c r="N14" s="2">
        <f t="shared" si="8"/>
        <v>0</v>
      </c>
      <c r="O14" s="16">
        <f t="shared" si="2"/>
        <v>6.4200422956744704E-2</v>
      </c>
      <c r="P14" s="24" t="e">
        <f t="shared" si="9"/>
        <v>#DIV/0!</v>
      </c>
      <c r="Q14" s="16"/>
      <c r="R14" s="15"/>
      <c r="V14" s="18">
        <f t="shared" si="4"/>
        <v>35.318100999999999</v>
      </c>
      <c r="W14" s="17">
        <f t="shared" si="5"/>
        <v>1.0471975511965979</v>
      </c>
      <c r="X14" s="17">
        <f t="shared" si="6"/>
        <v>0.53616514621265809</v>
      </c>
      <c r="Y14" s="2">
        <f t="shared" si="7"/>
        <v>3.6406561619539597E-3</v>
      </c>
    </row>
    <row r="15" spans="1:25" s="4" customFormat="1" x14ac:dyDescent="0.3">
      <c r="A15" s="4">
        <v>750</v>
      </c>
      <c r="B15" s="10">
        <f t="shared" si="0"/>
        <v>302.22551628798698</v>
      </c>
      <c r="C15" s="11">
        <f t="shared" si="1"/>
        <v>39.269908169872416</v>
      </c>
      <c r="E15" s="6">
        <v>0.195436</v>
      </c>
      <c r="F15" s="6">
        <v>0.24442</v>
      </c>
      <c r="G15" s="5"/>
      <c r="H15" s="5">
        <v>24.52</v>
      </c>
      <c r="I15" s="5"/>
      <c r="J15" s="5"/>
      <c r="K15" s="5"/>
      <c r="L15" s="5"/>
      <c r="M15" s="5"/>
      <c r="N15" s="5">
        <f t="shared" si="8"/>
        <v>0</v>
      </c>
      <c r="O15" s="20">
        <f t="shared" si="2"/>
        <v>8.9268889091111095E-2</v>
      </c>
      <c r="P15" s="24" t="e">
        <f t="shared" si="9"/>
        <v>#DIV/0!</v>
      </c>
      <c r="Q15" s="20"/>
      <c r="R15" s="12"/>
      <c r="V15" s="19">
        <f t="shared" si="4"/>
        <v>28.837060000000001</v>
      </c>
      <c r="W15" s="6">
        <f t="shared" si="5"/>
        <v>1.0471975511965979</v>
      </c>
      <c r="X15" s="6">
        <f t="shared" si="6"/>
        <v>0.53616514621265809</v>
      </c>
      <c r="Y15" s="5">
        <f t="shared" si="7"/>
        <v>3.6406561619539597E-3</v>
      </c>
    </row>
    <row r="16" spans="1:25" x14ac:dyDescent="0.3">
      <c r="A16">
        <v>1000</v>
      </c>
      <c r="B16" s="13">
        <f t="shared" si="0"/>
        <v>402.9673550506493</v>
      </c>
      <c r="C16" s="14">
        <f t="shared" si="1"/>
        <v>52.35987755982989</v>
      </c>
      <c r="E16" s="17">
        <v>0.16925299999999999</v>
      </c>
      <c r="F16" s="17">
        <v>0.211674</v>
      </c>
      <c r="G16" s="2"/>
      <c r="H16" s="2">
        <v>31.128699999999998</v>
      </c>
      <c r="I16" t="s">
        <v>33</v>
      </c>
      <c r="K16">
        <v>7.0907899999999996E-2</v>
      </c>
      <c r="L16">
        <v>0.13306499999999999</v>
      </c>
      <c r="N16" s="23">
        <f t="shared" si="8"/>
        <v>0.11689327133283918</v>
      </c>
      <c r="O16" s="24">
        <f t="shared" si="2"/>
        <v>0.11332889346861622</v>
      </c>
      <c r="P16" s="25">
        <f t="shared" si="9"/>
        <v>0.96950741626458692</v>
      </c>
      <c r="Q16" s="16"/>
      <c r="V16" s="18">
        <f t="shared" si="4"/>
        <v>24.973652999999999</v>
      </c>
      <c r="W16" s="17">
        <f t="shared" si="5"/>
        <v>1.0471975511965979</v>
      </c>
      <c r="X16" s="17">
        <f t="shared" si="6"/>
        <v>0.53616514621265809</v>
      </c>
      <c r="Y16" s="2">
        <f t="shared" si="7"/>
        <v>3.6406561619539597E-3</v>
      </c>
    </row>
    <row r="17" spans="2:18" x14ac:dyDescent="0.3">
      <c r="B17" s="13"/>
      <c r="C17" s="13"/>
    </row>
    <row r="18" spans="2:18" x14ac:dyDescent="0.3">
      <c r="E18" t="s">
        <v>28</v>
      </c>
    </row>
    <row r="19" spans="2:18" x14ac:dyDescent="0.3">
      <c r="E19" t="s">
        <v>24</v>
      </c>
    </row>
    <row r="20" spans="2:18" x14ac:dyDescent="0.3">
      <c r="E20" t="s">
        <v>25</v>
      </c>
    </row>
    <row r="21" spans="2:18" x14ac:dyDescent="0.3">
      <c r="E21" t="s">
        <v>26</v>
      </c>
    </row>
    <row r="22" spans="2:18" x14ac:dyDescent="0.3">
      <c r="E22" t="s">
        <v>29</v>
      </c>
    </row>
    <row r="24" spans="2:18" x14ac:dyDescent="0.3">
      <c r="E24" s="1" t="s">
        <v>23</v>
      </c>
      <c r="R24" s="2"/>
    </row>
    <row r="25" spans="2:18" x14ac:dyDescent="0.3">
      <c r="E25" s="1" t="s">
        <v>9</v>
      </c>
      <c r="F25" s="1" t="s">
        <v>8</v>
      </c>
      <c r="G25" s="1"/>
      <c r="R25" s="2"/>
    </row>
    <row r="26" spans="2:18" x14ac:dyDescent="0.3">
      <c r="E26" t="s">
        <v>11</v>
      </c>
      <c r="F26">
        <f>4/3*PI()*(0.04)^3</f>
        <v>2.6808257310632905E-4</v>
      </c>
    </row>
    <row r="27" spans="2:18" x14ac:dyDescent="0.3">
      <c r="E27" t="s">
        <v>10</v>
      </c>
      <c r="F27">
        <f>4/3*PI()*(0.05)^3</f>
        <v>5.2359877559829892E-4</v>
      </c>
    </row>
    <row r="28" spans="2:18" x14ac:dyDescent="0.3">
      <c r="E28" t="s">
        <v>12</v>
      </c>
      <c r="F28">
        <f>(238.02+32)/238.05 / F26 / 10.5 / 100^3 * 1000</f>
        <v>0.40296735505064929</v>
      </c>
    </row>
    <row r="29" spans="2:18" x14ac:dyDescent="0.3">
      <c r="E29" t="s">
        <v>13</v>
      </c>
      <c r="F29">
        <f>$F$27*100</f>
        <v>5.235987755982989E-2</v>
      </c>
    </row>
    <row r="30" spans="2:18" x14ac:dyDescent="0.3">
      <c r="E30" t="s">
        <v>15</v>
      </c>
      <c r="F30">
        <v>2000</v>
      </c>
    </row>
    <row r="31" spans="2:18" x14ac:dyDescent="0.3">
      <c r="E31" t="s">
        <v>16</v>
      </c>
      <c r="F31">
        <v>2000</v>
      </c>
    </row>
    <row r="32" spans="2:18" x14ac:dyDescent="0.3">
      <c r="E32" t="s">
        <v>14</v>
      </c>
      <c r="F32">
        <v>10.5</v>
      </c>
    </row>
    <row r="33" spans="5:6" x14ac:dyDescent="0.3">
      <c r="E33" t="s">
        <v>17</v>
      </c>
      <c r="F33">
        <v>45</v>
      </c>
    </row>
    <row r="34" spans="5:6" x14ac:dyDescent="0.3">
      <c r="E34" t="s">
        <v>18</v>
      </c>
      <c r="F34">
        <v>82</v>
      </c>
    </row>
    <row r="35" spans="5:6" x14ac:dyDescent="0.3">
      <c r="E35" t="s">
        <v>19</v>
      </c>
      <c r="F35" s="2">
        <v>1.82032808097698E+18</v>
      </c>
    </row>
    <row r="36" spans="5:6" x14ac:dyDescent="0.3">
      <c r="E36" t="s">
        <v>22</v>
      </c>
      <c r="F36" s="2">
        <v>520600000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Park</dc:creator>
  <cp:lastModifiedBy>Patrick Park</cp:lastModifiedBy>
  <dcterms:created xsi:type="dcterms:W3CDTF">2015-06-05T18:17:20Z</dcterms:created>
  <dcterms:modified xsi:type="dcterms:W3CDTF">2026-01-01T01:09:07Z</dcterms:modified>
</cp:coreProperties>
</file>