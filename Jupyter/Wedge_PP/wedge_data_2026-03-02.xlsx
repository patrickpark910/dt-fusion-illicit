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patri\projects\emma-openmc\Jupyter\Wedge\"/>
    </mc:Choice>
  </mc:AlternateContent>
  <xr:revisionPtr revIDLastSave="0" documentId="13_ncr:1_{7283C29B-37F9-49F7-AED7-9067BAED6BC3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3" l="1"/>
  <c r="F74" i="3"/>
  <c r="K73" i="3"/>
  <c r="F73" i="3"/>
  <c r="K72" i="3"/>
  <c r="F72" i="3"/>
  <c r="K71" i="3"/>
  <c r="F71" i="3"/>
  <c r="K70" i="3"/>
  <c r="F70" i="3"/>
  <c r="K69" i="3"/>
  <c r="F69" i="3"/>
  <c r="K68" i="3"/>
  <c r="F68" i="3"/>
  <c r="K67" i="3"/>
  <c r="F67" i="3"/>
  <c r="K66" i="3"/>
  <c r="F66" i="3"/>
  <c r="K65" i="3"/>
  <c r="F65" i="3"/>
  <c r="K64" i="3"/>
  <c r="F64" i="3"/>
  <c r="K57" i="3"/>
  <c r="F57" i="3"/>
  <c r="K56" i="3"/>
  <c r="F56" i="3"/>
  <c r="K55" i="3"/>
  <c r="F55" i="3"/>
  <c r="K54" i="3"/>
  <c r="F54" i="3"/>
  <c r="K53" i="3"/>
  <c r="F53" i="3"/>
  <c r="K52" i="3"/>
  <c r="F52" i="3"/>
  <c r="K51" i="3"/>
  <c r="F51" i="3"/>
  <c r="K50" i="3"/>
  <c r="F50" i="3"/>
  <c r="K49" i="3"/>
  <c r="F49" i="3"/>
  <c r="K48" i="3"/>
  <c r="F48" i="3"/>
  <c r="K47" i="3"/>
  <c r="F47" i="3"/>
  <c r="K39" i="3"/>
  <c r="K38" i="3"/>
  <c r="K37" i="3"/>
  <c r="K36" i="3"/>
  <c r="K35" i="3"/>
  <c r="K34" i="3"/>
  <c r="K33" i="3"/>
  <c r="K32" i="3"/>
  <c r="K31" i="3"/>
  <c r="K30" i="3"/>
  <c r="K29" i="3"/>
  <c r="K22" i="3"/>
  <c r="K21" i="3"/>
  <c r="K20" i="3"/>
  <c r="K19" i="3"/>
  <c r="K18" i="3"/>
  <c r="K17" i="3"/>
  <c r="K16" i="3"/>
  <c r="K15" i="3"/>
  <c r="K14" i="3"/>
  <c r="K13" i="3"/>
  <c r="K12" i="3"/>
  <c r="C11" i="3" l="1"/>
  <c r="F39" i="3"/>
  <c r="F38" i="3"/>
  <c r="F37" i="3"/>
  <c r="F36" i="3"/>
  <c r="F35" i="3"/>
  <c r="F34" i="3"/>
  <c r="F33" i="3"/>
  <c r="F32" i="3"/>
  <c r="F31" i="3"/>
  <c r="F30" i="3"/>
  <c r="F29" i="3"/>
  <c r="F22" i="3" l="1"/>
  <c r="F21" i="3"/>
  <c r="F20" i="3"/>
  <c r="F19" i="3"/>
  <c r="F18" i="3"/>
  <c r="F17" i="3"/>
  <c r="F16" i="3"/>
  <c r="F15" i="3"/>
  <c r="F14" i="3"/>
  <c r="F13" i="3"/>
  <c r="F12" i="3"/>
</calcChain>
</file>

<file path=xl/sharedStrings.xml><?xml version="1.0" encoding="utf-8"?>
<sst xmlns="http://schemas.openxmlformats.org/spreadsheetml/2006/main" count="49" uniqueCount="10">
  <si>
    <t>Fertile kg/m3</t>
  </si>
  <si>
    <t>D-shape</t>
  </si>
  <si>
    <t>TRITIUM BREEDING RATIO [ RXNS/SRC-N ]</t>
  </si>
  <si>
    <t>Thorium BISO</t>
  </si>
  <si>
    <t>Uranium BISO</t>
  </si>
  <si>
    <t>FISSILE PRODUCTION RATE [ RXNS/SRC-N ]</t>
  </si>
  <si>
    <t>Wedge-C</t>
  </si>
  <si>
    <t>Wedge-A</t>
  </si>
  <si>
    <t>=C/A</t>
  </si>
  <si>
    <t>DCLL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</si>
</sst>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1" fillId="2" borderId="0" xfId="0" applyFont="1" applyFill="1"/>
    <xf numFmtId="164" fontId="0" fillId="0" borderId="0" xfId="0" applyNumberFormat="1"/>
    <xf numFmtId="0" fontId="1" fillId="2" borderId="0" xfId="0" quotePrefix="1" applyFont="1" applyFill="1"/>
    <xf numFmtId="0" fontId="0" fillId="2" borderId="0" xfId="0" applyFill="1"/>
    <xf numFmtId="0" fontId="1" fillId="3" borderId="0" xfId="0" applyFont="1" applyFill="1"/>
    <xf numFmtId="165" fontId="0" fillId="0" borderId="0" xfId="0" applyNumberFormat="1"/>
    <xf numFmtId="165" fontId="0" fillId="4" borderId="0" xfId="0" applyNumberFormat="1" applyFill="1"/>
    <xf numFmtId="11" fontId="2" fillId="0" borderId="0" xfId="0" applyNumberFormat="1" applyFont="1"/>
    <xf numFmtId="0" fontId="3" fillId="0" borderId="0" xfId="0" applyFont="1"/>
    <xf numFmtId="11" fontId="4" fillId="0" borderId="0" xfId="0" applyNumberFormat="1" applyFont="1"/>
    <xf numFmtId="0" fontId="5" fillId="0" borderId="0" xfId="0" applyFont="1"/>
    <xf numFmtId="166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1'!$A$29:$A$39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1'!$F$29:$F$39</c:f>
              <c:numCache>
                <c:formatCode>0.000000</c:formatCode>
                <c:ptCount val="11"/>
                <c:pt idx="0">
                  <c:v>0.6076732745320641</c:v>
                </c:pt>
                <c:pt idx="1">
                  <c:v>0.65530104306516568</c:v>
                </c:pt>
                <c:pt idx="2">
                  <c:v>0.6775421418886266</c:v>
                </c:pt>
                <c:pt idx="3">
                  <c:v>0.71507840358416386</c:v>
                </c:pt>
                <c:pt idx="4">
                  <c:v>0.7434984513889169</c:v>
                </c:pt>
                <c:pt idx="5">
                  <c:v>0.76438271488132414</c:v>
                </c:pt>
                <c:pt idx="6">
                  <c:v>0.78726090242929425</c:v>
                </c:pt>
                <c:pt idx="7">
                  <c:v>0.83345319263695083</c:v>
                </c:pt>
                <c:pt idx="8">
                  <c:v>0.88203910229932547</c:v>
                </c:pt>
                <c:pt idx="9">
                  <c:v>0.89219699527346386</c:v>
                </c:pt>
                <c:pt idx="10">
                  <c:v>0.89626729658445803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A-449C-BA40-26C8A0D4DFC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1'!$A$29:$A$39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1'!$K$29:$K$39</c:f>
              <c:numCache>
                <c:formatCode>0.000000</c:formatCode>
                <c:ptCount val="11"/>
                <c:pt idx="0">
                  <c:v>0.77519557678944861</c:v>
                </c:pt>
                <c:pt idx="1">
                  <c:v>0.80083320125885837</c:v>
                </c:pt>
                <c:pt idx="2">
                  <c:v>0.81914702364077641</c:v>
                </c:pt>
                <c:pt idx="3">
                  <c:v>0.82655699317116083</c:v>
                </c:pt>
                <c:pt idx="4">
                  <c:v>0.84466185642656233</c:v>
                </c:pt>
                <c:pt idx="5">
                  <c:v>0.85096093769524894</c:v>
                </c:pt>
                <c:pt idx="6">
                  <c:v>0.86330938947000768</c:v>
                </c:pt>
                <c:pt idx="7">
                  <c:v>0.88204857840984952</c:v>
                </c:pt>
                <c:pt idx="8">
                  <c:v>0.90265327752528424</c:v>
                </c:pt>
                <c:pt idx="9">
                  <c:v>0.90631019191020734</c:v>
                </c:pt>
                <c:pt idx="10">
                  <c:v>0.90335518937977988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5A-449C-BA40-26C8A0D4D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801328"/>
        <c:axId val="1647516927"/>
      </c:scatterChart>
      <c:valAx>
        <c:axId val="1393801328"/>
        <c:scaling>
          <c:orientation val="minMax"/>
          <c:max val="1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516927"/>
        <c:crosses val="autoZero"/>
        <c:crossBetween val="midCat"/>
      </c:valAx>
      <c:valAx>
        <c:axId val="16475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01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1"/>
            <c:dispRSqr val="1"/>
            <c:dispEq val="1"/>
            <c:trendlineLbl>
              <c:layout>
                <c:manualLayout>
                  <c:x val="0.11546806649168855"/>
                  <c:y val="0.182226260179016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1'!$A$12:$A$22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1'!$F$12:$F$22</c:f>
              <c:numCache>
                <c:formatCode>0.000000</c:formatCode>
                <c:ptCount val="11"/>
                <c:pt idx="0">
                  <c:v>1.0005567123604606</c:v>
                </c:pt>
                <c:pt idx="1">
                  <c:v>1.0026724181753486</c:v>
                </c:pt>
                <c:pt idx="2">
                  <c:v>1.0021591363454618</c:v>
                </c:pt>
                <c:pt idx="3">
                  <c:v>1.0049614152858493</c:v>
                </c:pt>
                <c:pt idx="4">
                  <c:v>1.0079974078383434</c:v>
                </c:pt>
                <c:pt idx="5">
                  <c:v>1.0068066511128393</c:v>
                </c:pt>
                <c:pt idx="6">
                  <c:v>1.0105483347477184</c:v>
                </c:pt>
                <c:pt idx="7">
                  <c:v>1.0160426590612579</c:v>
                </c:pt>
                <c:pt idx="8">
                  <c:v>1.027747376046235</c:v>
                </c:pt>
                <c:pt idx="9">
                  <c:v>1.0410232094243834</c:v>
                </c:pt>
                <c:pt idx="10">
                  <c:v>1.0542856414223416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1-4DCE-9286-72E05B5CD6A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1"/>
            <c:dispRSqr val="1"/>
            <c:dispEq val="1"/>
            <c:trendlineLbl>
              <c:layout>
                <c:manualLayout>
                  <c:x val="-0.14286526684164486"/>
                  <c:y val="-1.11645299145299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1'!$A$12:$A$22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1'!$K$12:$K$22</c:f>
              <c:numCache>
                <c:formatCode>0.000000</c:formatCode>
                <c:ptCount val="11"/>
                <c:pt idx="0">
                  <c:v>1.0003903539208883</c:v>
                </c:pt>
                <c:pt idx="1">
                  <c:v>1.0027330944298665</c:v>
                </c:pt>
                <c:pt idx="2">
                  <c:v>1.0021334692540138</c:v>
                </c:pt>
                <c:pt idx="3">
                  <c:v>1.0044730077120825</c:v>
                </c:pt>
                <c:pt idx="4">
                  <c:v>1.0073935922200759</c:v>
                </c:pt>
                <c:pt idx="5">
                  <c:v>1.0081546248052655</c:v>
                </c:pt>
                <c:pt idx="6">
                  <c:v>1.0108179578099645</c:v>
                </c:pt>
                <c:pt idx="7">
                  <c:v>1.0129868133894815</c:v>
                </c:pt>
                <c:pt idx="8">
                  <c:v>1.0286916137817004</c:v>
                </c:pt>
                <c:pt idx="9">
                  <c:v>1.0410104874799302</c:v>
                </c:pt>
                <c:pt idx="10">
                  <c:v>1.0574335293481005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1-4DCE-9286-72E05B5CD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289503"/>
        <c:axId val="1641287583"/>
      </c:scatterChart>
      <c:valAx>
        <c:axId val="16412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87583"/>
        <c:crosses val="autoZero"/>
        <c:crossBetween val="midCat"/>
      </c:valAx>
      <c:valAx>
        <c:axId val="164128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8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1'!$F$63</c:f>
              <c:strCache>
                <c:ptCount val="1"/>
                <c:pt idx="0">
                  <c:v>=C/A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1'!$A$64:$A$74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1'!$F$64:$F$74</c:f>
              <c:numCache>
                <c:formatCode>0.000000</c:formatCode>
                <c:ptCount val="11"/>
                <c:pt idx="0">
                  <c:v>0.97086005029284095</c:v>
                </c:pt>
                <c:pt idx="1">
                  <c:v>0.98226669802781152</c:v>
                </c:pt>
                <c:pt idx="2">
                  <c:v>0.97850437919787792</c:v>
                </c:pt>
                <c:pt idx="3">
                  <c:v>0.97923921188345753</c:v>
                </c:pt>
                <c:pt idx="4">
                  <c:v>0.97719628132956471</c:v>
                </c:pt>
                <c:pt idx="5">
                  <c:v>0.97532695159768101</c:v>
                </c:pt>
                <c:pt idx="6">
                  <c:v>0.9739088330912361</c:v>
                </c:pt>
                <c:pt idx="7">
                  <c:v>0.9708005022695595</c:v>
                </c:pt>
                <c:pt idx="8">
                  <c:v>0.9598274190420788</c:v>
                </c:pt>
                <c:pt idx="9">
                  <c:v>0.94792358237108088</c:v>
                </c:pt>
                <c:pt idx="10">
                  <c:v>0.93889438202247189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CE-479C-9EA8-30A245A08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16576"/>
        <c:axId val="114617056"/>
      </c:scatterChart>
      <c:valAx>
        <c:axId val="11461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17056"/>
        <c:crosses val="autoZero"/>
        <c:crossBetween val="midCat"/>
      </c:valAx>
      <c:valAx>
        <c:axId val="1146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1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1'!$F$46</c:f>
              <c:strCache>
                <c:ptCount val="1"/>
                <c:pt idx="0">
                  <c:v>=C/A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1'!$A$47:$A$57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1'!$F$47:$F$57</c:f>
              <c:numCache>
                <c:formatCode>0.000000</c:formatCode>
                <c:ptCount val="11"/>
                <c:pt idx="0">
                  <c:v>0.99946822653549583</c:v>
                </c:pt>
                <c:pt idx="1">
                  <c:v>1.0011930364347048</c:v>
                </c:pt>
                <c:pt idx="2">
                  <c:v>1.0008569249758252</c:v>
                </c:pt>
                <c:pt idx="3">
                  <c:v>0.9999921334791263</c:v>
                </c:pt>
                <c:pt idx="4">
                  <c:v>1.0014031215513166</c:v>
                </c:pt>
                <c:pt idx="5">
                  <c:v>1.0020135818066962</c:v>
                </c:pt>
                <c:pt idx="6">
                  <c:v>1.0028168568308777</c:v>
                </c:pt>
                <c:pt idx="7">
                  <c:v>1.005423788209433</c:v>
                </c:pt>
                <c:pt idx="8">
                  <c:v>1.0111430830555035</c:v>
                </c:pt>
                <c:pt idx="9">
                  <c:v>1.0183315287185557</c:v>
                </c:pt>
                <c:pt idx="10">
                  <c:v>1.0263809813551219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6-4BEB-84E0-6A0C66B7B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77952"/>
        <c:axId val="111975072"/>
      </c:scatterChart>
      <c:valAx>
        <c:axId val="11197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5072"/>
        <c:crosses val="autoZero"/>
        <c:crossBetween val="midCat"/>
      </c:valAx>
      <c:valAx>
        <c:axId val="1119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255270</xdr:colOff>
      <xdr:row>25</xdr:row>
      <xdr:rowOff>68580</xdr:rowOff>
    </xdr:from>
    <xdr:to>
      <xdr:col>19</xdr:col>
      <xdr:colOff>560070</xdr:colOff>
      <xdr:row>40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BF6084-11AA-97F7-53C2-9A86E48D2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300990</xdr:colOff>
      <xdr:row>8</xdr:row>
      <xdr:rowOff>99060</xdr:rowOff>
    </xdr:from>
    <xdr:to>
      <xdr:col>19</xdr:col>
      <xdr:colOff>605790</xdr:colOff>
      <xdr:row>21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8D171C-51DC-A2DA-08F3-A64A456D6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868680</xdr:colOff>
      <xdr:row>59</xdr:row>
      <xdr:rowOff>76200</xdr:rowOff>
    </xdr:from>
    <xdr:to>
      <xdr:col>19</xdr:col>
      <xdr:colOff>198120</xdr:colOff>
      <xdr:row>74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18F3B-2271-EEFD-8B60-2D067E479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929640</xdr:colOff>
      <xdr:row>43</xdr:row>
      <xdr:rowOff>7620</xdr:rowOff>
    </xdr:from>
    <xdr:to>
      <xdr:col>19</xdr:col>
      <xdr:colOff>259080</xdr:colOff>
      <xdr:row>58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2A22E-8B90-A0A4-CE77-0333E07A7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6C2-1180-4450-A3B0-0B08DD9AEC85}">
  <dimension ref="A1:Q74"/>
  <sheetViews>
    <sheetView tabSelected="1" topLeftCell="A31" workbookViewId="0">
      <selection activeCell="X53" activeCellId="1" sqref="K58 X53"/>
    </sheetView>
  </sheetViews>
  <sheetFormatPr defaultRowHeight="14.4" x14ac:dyDescent="0.3"/>
  <cols>
    <col min="1" max="1" width="12.33203125" customWidth="1"/>
    <col min="2" max="2" width="2.109375" customWidth="1"/>
    <col min="3" max="4" width="12.21875" customWidth="1"/>
    <col min="5" max="5" width="15.88671875" customWidth="1"/>
    <col min="6" max="6" width="15.6640625" customWidth="1"/>
    <col min="7" max="7" width="2.77734375" customWidth="1"/>
    <col min="8" max="11" width="13.33203125" customWidth="1"/>
    <col min="12" max="12" width="14.21875" customWidth="1"/>
  </cols>
  <sheetData>
    <row r="1" spans="1:17" x14ac:dyDescent="0.3">
      <c r="H1" s="1"/>
      <c r="I1" s="1"/>
      <c r="J1" s="1"/>
      <c r="K1" s="1"/>
    </row>
    <row r="2" spans="1:17" x14ac:dyDescent="0.3">
      <c r="H2" s="1"/>
      <c r="I2" s="1"/>
      <c r="J2" s="1"/>
      <c r="K2" s="1"/>
      <c r="M2" s="1"/>
      <c r="N2" s="1"/>
      <c r="P2" s="1"/>
      <c r="Q2" s="1"/>
    </row>
    <row r="3" spans="1:17" x14ac:dyDescent="0.3">
      <c r="Q3" s="2"/>
    </row>
    <row r="7" spans="1:17" x14ac:dyDescent="0.3">
      <c r="B7" s="2"/>
      <c r="E7" s="2"/>
      <c r="F7" s="7"/>
    </row>
    <row r="8" spans="1:17" x14ac:dyDescent="0.3">
      <c r="C8" s="15" t="s">
        <v>2</v>
      </c>
      <c r="D8" s="15"/>
      <c r="E8" s="16"/>
      <c r="H8" s="2"/>
      <c r="I8" s="2"/>
      <c r="J8" s="2"/>
      <c r="K8" s="2"/>
    </row>
    <row r="9" spans="1:17" x14ac:dyDescent="0.3">
      <c r="C9" s="3" t="s">
        <v>4</v>
      </c>
      <c r="D9" s="3"/>
      <c r="E9" s="10"/>
      <c r="F9" s="3"/>
      <c r="H9" s="3" t="s">
        <v>3</v>
      </c>
      <c r="I9" s="3"/>
      <c r="J9" s="10"/>
      <c r="K9" s="10"/>
      <c r="L9" s="3"/>
    </row>
    <row r="10" spans="1:17" x14ac:dyDescent="0.3">
      <c r="A10" s="6" t="s">
        <v>0</v>
      </c>
      <c r="B10" s="6"/>
      <c r="C10" s="6" t="s">
        <v>1</v>
      </c>
      <c r="D10" s="6" t="s">
        <v>7</v>
      </c>
      <c r="E10" s="6" t="s">
        <v>6</v>
      </c>
      <c r="F10" s="8" t="s">
        <v>8</v>
      </c>
      <c r="G10" s="9"/>
      <c r="H10" s="6" t="s">
        <v>1</v>
      </c>
      <c r="I10" s="6" t="s">
        <v>7</v>
      </c>
      <c r="J10" s="6" t="s">
        <v>6</v>
      </c>
      <c r="K10" s="8" t="s">
        <v>8</v>
      </c>
      <c r="L10" s="8"/>
    </row>
    <row r="11" spans="1:17" x14ac:dyDescent="0.3">
      <c r="A11" s="9">
        <v>0</v>
      </c>
      <c r="B11" s="9"/>
      <c r="C11" s="17">
        <f>1.38911+0.015389</f>
        <v>1.4044990000000002</v>
      </c>
      <c r="D11" s="6"/>
      <c r="E11" s="6"/>
      <c r="F11" s="18"/>
      <c r="G11" s="9"/>
      <c r="H11" s="6"/>
      <c r="I11" s="6"/>
      <c r="J11" s="6"/>
      <c r="K11" s="18"/>
      <c r="L11" s="8"/>
    </row>
    <row r="12" spans="1:17" x14ac:dyDescent="0.3">
      <c r="A12">
        <v>0.1</v>
      </c>
      <c r="B12" s="5"/>
      <c r="C12">
        <v>1.40420707746021</v>
      </c>
      <c r="D12" s="11">
        <v>1.3831199999999999</v>
      </c>
      <c r="E12" s="11">
        <v>1.3838900000000001</v>
      </c>
      <c r="F12" s="11">
        <f>E12/D12</f>
        <v>1.0005567123604606</v>
      </c>
      <c r="G12" s="4"/>
      <c r="H12">
        <v>1.4043892076542099</v>
      </c>
      <c r="I12">
        <v>1.3833599999999999</v>
      </c>
      <c r="J12">
        <v>1.3838999999999999</v>
      </c>
      <c r="K12" s="11">
        <f>J12/I12</f>
        <v>1.0003903539208883</v>
      </c>
      <c r="L12" s="11"/>
    </row>
    <row r="13" spans="1:17" s="4" customFormat="1" x14ac:dyDescent="0.3">
      <c r="A13" s="4">
        <v>15</v>
      </c>
      <c r="B13" s="5"/>
      <c r="C13" s="4">
        <v>1.3978225806626601</v>
      </c>
      <c r="D13" s="12">
        <v>1.37703</v>
      </c>
      <c r="E13" s="12">
        <v>1.3807100000000001</v>
      </c>
      <c r="F13" s="12">
        <f t="shared" ref="F13:F22" si="0">E13/D13</f>
        <v>1.0026724181753486</v>
      </c>
      <c r="H13" s="4">
        <v>1.3977474767840601</v>
      </c>
      <c r="I13" s="4">
        <v>1.3757299999999999</v>
      </c>
      <c r="J13" s="4">
        <v>1.3794900000000001</v>
      </c>
      <c r="K13" s="12">
        <f t="shared" ref="K13:K22" si="1">J13/I13</f>
        <v>1.0027330944298665</v>
      </c>
      <c r="L13" s="12"/>
    </row>
    <row r="14" spans="1:17" x14ac:dyDescent="0.3">
      <c r="A14">
        <v>30</v>
      </c>
      <c r="B14" s="5"/>
      <c r="C14">
        <v>1.3935791421766499</v>
      </c>
      <c r="D14" s="11">
        <v>1.3755500000000001</v>
      </c>
      <c r="E14" s="11">
        <v>1.37852</v>
      </c>
      <c r="F14" s="11">
        <f t="shared" si="0"/>
        <v>1.0021591363454618</v>
      </c>
      <c r="G14" s="4"/>
      <c r="H14">
        <v>1.3923333952149399</v>
      </c>
      <c r="I14">
        <v>1.3733500000000001</v>
      </c>
      <c r="J14">
        <v>1.3762799999999999</v>
      </c>
      <c r="K14" s="11">
        <f t="shared" si="1"/>
        <v>1.0021334692540138</v>
      </c>
      <c r="L14" s="11"/>
    </row>
    <row r="15" spans="1:17" s="4" customFormat="1" x14ac:dyDescent="0.3">
      <c r="A15" s="4">
        <v>60</v>
      </c>
      <c r="B15" s="5"/>
      <c r="C15" s="4">
        <v>1.38536063754419</v>
      </c>
      <c r="D15" s="12">
        <v>1.36453</v>
      </c>
      <c r="E15" s="12">
        <v>1.3713</v>
      </c>
      <c r="F15" s="12">
        <f t="shared" si="0"/>
        <v>1.0049614152858493</v>
      </c>
      <c r="H15" s="4">
        <v>1.3811147115786999</v>
      </c>
      <c r="I15" s="4">
        <v>1.3614999999999999</v>
      </c>
      <c r="J15" s="4">
        <v>1.3675900000000001</v>
      </c>
      <c r="K15" s="12">
        <f t="shared" si="1"/>
        <v>1.0044730077120825</v>
      </c>
      <c r="L15" s="12"/>
    </row>
    <row r="16" spans="1:17" x14ac:dyDescent="0.3">
      <c r="A16">
        <v>90</v>
      </c>
      <c r="B16" s="5"/>
      <c r="C16">
        <v>1.37856347972413</v>
      </c>
      <c r="D16" s="11">
        <v>1.3579399999999999</v>
      </c>
      <c r="E16" s="11">
        <v>1.3688</v>
      </c>
      <c r="F16" s="11">
        <f t="shared" si="0"/>
        <v>1.0079974078383434</v>
      </c>
      <c r="G16" s="4"/>
      <c r="H16">
        <v>1.3698685473168299</v>
      </c>
      <c r="I16">
        <v>1.35117</v>
      </c>
      <c r="J16">
        <v>1.3611599999999999</v>
      </c>
      <c r="K16" s="11">
        <f t="shared" si="1"/>
        <v>1.0073935922200759</v>
      </c>
      <c r="L16" s="11"/>
    </row>
    <row r="17" spans="1:12" s="4" customFormat="1" x14ac:dyDescent="0.3">
      <c r="A17" s="4">
        <v>120</v>
      </c>
      <c r="B17" s="5"/>
      <c r="C17" s="4">
        <v>1.3699400435562701</v>
      </c>
      <c r="D17" s="12">
        <v>1.35015</v>
      </c>
      <c r="E17" s="12">
        <v>1.35934</v>
      </c>
      <c r="F17" s="12">
        <f t="shared" si="0"/>
        <v>1.0068066511128393</v>
      </c>
      <c r="H17" s="4">
        <v>1.35986137171571</v>
      </c>
      <c r="I17" s="4">
        <v>1.3415699999999999</v>
      </c>
      <c r="J17" s="4">
        <v>1.3525100000000001</v>
      </c>
      <c r="K17" s="12">
        <f t="shared" si="1"/>
        <v>1.0081546248052655</v>
      </c>
      <c r="L17" s="12"/>
    </row>
    <row r="18" spans="1:12" x14ac:dyDescent="0.3">
      <c r="A18">
        <v>150</v>
      </c>
      <c r="B18" s="5"/>
      <c r="C18">
        <v>1.3618779251700099</v>
      </c>
      <c r="D18" s="11">
        <v>1.34334</v>
      </c>
      <c r="E18" s="11">
        <v>1.35751</v>
      </c>
      <c r="F18" s="11">
        <f t="shared" si="0"/>
        <v>1.0105483347477184</v>
      </c>
      <c r="G18" s="4"/>
      <c r="H18">
        <v>1.34863286309854</v>
      </c>
      <c r="I18">
        <v>1.3311200000000001</v>
      </c>
      <c r="J18">
        <v>1.34552</v>
      </c>
      <c r="K18" s="11">
        <f t="shared" si="1"/>
        <v>1.0108179578099645</v>
      </c>
      <c r="L18" s="11"/>
    </row>
    <row r="19" spans="1:12" s="4" customFormat="1" x14ac:dyDescent="0.3">
      <c r="A19" s="4">
        <v>250</v>
      </c>
      <c r="B19" s="5"/>
      <c r="C19" s="4">
        <v>1.34128105403747</v>
      </c>
      <c r="D19" s="12">
        <v>1.31836</v>
      </c>
      <c r="E19" s="12">
        <v>1.33951</v>
      </c>
      <c r="F19" s="12">
        <f t="shared" si="0"/>
        <v>1.0160426590612579</v>
      </c>
      <c r="H19" s="4">
        <v>1.31869938927708</v>
      </c>
      <c r="I19" s="4">
        <v>1.30132</v>
      </c>
      <c r="J19" s="4">
        <v>1.3182199999999999</v>
      </c>
      <c r="K19" s="12">
        <f t="shared" si="1"/>
        <v>1.0129868133894815</v>
      </c>
      <c r="L19" s="12"/>
    </row>
    <row r="20" spans="1:12" x14ac:dyDescent="0.3">
      <c r="A20">
        <v>500</v>
      </c>
      <c r="B20" s="5"/>
      <c r="C20">
        <v>1.2896852557910301</v>
      </c>
      <c r="D20" s="11">
        <v>1.27003</v>
      </c>
      <c r="E20" s="11">
        <v>1.3052699999999999</v>
      </c>
      <c r="F20" s="11">
        <f t="shared" si="0"/>
        <v>1.027747376046235</v>
      </c>
      <c r="G20" s="4"/>
      <c r="H20">
        <v>1.24433347413396</v>
      </c>
      <c r="I20">
        <v>1.2338100000000001</v>
      </c>
      <c r="J20">
        <v>1.2692099999999999</v>
      </c>
      <c r="K20" s="11">
        <f t="shared" si="1"/>
        <v>1.0286916137817004</v>
      </c>
      <c r="L20" s="11"/>
    </row>
    <row r="21" spans="1:12" s="4" customFormat="1" x14ac:dyDescent="0.3">
      <c r="A21" s="4">
        <v>750</v>
      </c>
      <c r="B21" s="5"/>
      <c r="C21" s="4">
        <v>1.24225887840578</v>
      </c>
      <c r="D21" s="12">
        <v>1.2232099999999999</v>
      </c>
      <c r="E21" s="12">
        <v>1.27339</v>
      </c>
      <c r="F21" s="12">
        <f t="shared" si="0"/>
        <v>1.0410232094243834</v>
      </c>
      <c r="H21" s="4">
        <v>1.1765306054398399</v>
      </c>
      <c r="I21" s="4">
        <v>1.17092</v>
      </c>
      <c r="J21" s="4">
        <v>1.2189399999999999</v>
      </c>
      <c r="K21" s="12">
        <f t="shared" si="1"/>
        <v>1.0410104874799302</v>
      </c>
      <c r="L21" s="12"/>
    </row>
    <row r="22" spans="1:12" x14ac:dyDescent="0.3">
      <c r="A22">
        <v>1000</v>
      </c>
      <c r="B22" s="5"/>
      <c r="C22">
        <v>1.1938794039418501</v>
      </c>
      <c r="D22" s="11">
        <v>1.1763699999999999</v>
      </c>
      <c r="E22" s="11">
        <v>1.2402299999999999</v>
      </c>
      <c r="F22" s="11">
        <f t="shared" si="0"/>
        <v>1.0542856414223416</v>
      </c>
      <c r="G22" s="4"/>
      <c r="H22">
        <v>1.1108715265371401</v>
      </c>
      <c r="I22">
        <v>1.10876</v>
      </c>
      <c r="J22">
        <v>1.1724399999999999</v>
      </c>
      <c r="K22" s="11">
        <f t="shared" si="1"/>
        <v>1.0574335293481005</v>
      </c>
      <c r="L22" s="11"/>
    </row>
    <row r="26" spans="1:12" x14ac:dyDescent="0.3">
      <c r="C26" s="13" t="s">
        <v>5</v>
      </c>
      <c r="D26" s="13"/>
      <c r="E26" s="14"/>
      <c r="F26" s="14"/>
      <c r="H26" s="2"/>
      <c r="I26" s="2"/>
      <c r="J26" s="2"/>
      <c r="K26" s="2"/>
    </row>
    <row r="27" spans="1:12" x14ac:dyDescent="0.3">
      <c r="C27" s="3" t="s">
        <v>4</v>
      </c>
      <c r="D27" s="3"/>
      <c r="E27" s="10"/>
      <c r="F27" s="3"/>
      <c r="H27" s="3" t="s">
        <v>3</v>
      </c>
      <c r="I27" s="3"/>
      <c r="J27" s="10"/>
      <c r="K27" s="10"/>
      <c r="L27" s="3"/>
    </row>
    <row r="28" spans="1:12" x14ac:dyDescent="0.3">
      <c r="A28" s="6" t="s">
        <v>0</v>
      </c>
      <c r="B28" s="6"/>
      <c r="C28" s="6" t="s">
        <v>1</v>
      </c>
      <c r="D28" s="6" t="s">
        <v>7</v>
      </c>
      <c r="E28" s="6" t="s">
        <v>6</v>
      </c>
      <c r="F28" s="8" t="s">
        <v>8</v>
      </c>
      <c r="G28" s="9"/>
      <c r="H28" s="6" t="s">
        <v>1</v>
      </c>
      <c r="I28" s="6" t="s">
        <v>7</v>
      </c>
      <c r="J28" s="6" t="s">
        <v>6</v>
      </c>
      <c r="K28" s="8" t="s">
        <v>8</v>
      </c>
      <c r="L28" s="8"/>
    </row>
    <row r="29" spans="1:12" x14ac:dyDescent="0.3">
      <c r="A29">
        <v>0.1</v>
      </c>
      <c r="B29" s="5"/>
      <c r="C29" s="2">
        <v>3.52725672373683E-5</v>
      </c>
      <c r="D29" s="2">
        <v>3.4353000000000001E-5</v>
      </c>
      <c r="E29" s="2">
        <v>2.08754E-5</v>
      </c>
      <c r="F29" s="11">
        <f>E29/D29</f>
        <v>0.6076732745320641</v>
      </c>
      <c r="G29" s="4"/>
      <c r="H29" s="2">
        <v>3.2364516810043102E-5</v>
      </c>
      <c r="I29" s="2">
        <v>3.0077699999999998E-5</v>
      </c>
      <c r="J29" s="2">
        <v>2.3316099999999999E-5</v>
      </c>
      <c r="K29" s="11">
        <f>J29/I29</f>
        <v>0.77519557678944861</v>
      </c>
      <c r="L29" s="11"/>
    </row>
    <row r="30" spans="1:12" x14ac:dyDescent="0.3">
      <c r="A30" s="4">
        <v>15</v>
      </c>
      <c r="B30" s="5"/>
      <c r="C30" s="5">
        <v>5.02535867346246E-3</v>
      </c>
      <c r="D30" s="5">
        <v>4.8415000000000003E-3</v>
      </c>
      <c r="E30" s="5">
        <v>3.17264E-3</v>
      </c>
      <c r="F30" s="12">
        <f t="shared" ref="F30:F39" si="2">E30/D30</f>
        <v>0.65530104306516568</v>
      </c>
      <c r="G30" s="4"/>
      <c r="H30">
        <v>4.7442437671726999E-3</v>
      </c>
      <c r="I30">
        <v>4.4167E-3</v>
      </c>
      <c r="J30" s="4">
        <v>3.53704E-3</v>
      </c>
      <c r="K30" s="12">
        <f t="shared" ref="K30:K39" si="3">J30/I30</f>
        <v>0.80083320125885837</v>
      </c>
      <c r="L30" s="12"/>
    </row>
    <row r="31" spans="1:12" x14ac:dyDescent="0.3">
      <c r="A31">
        <v>30</v>
      </c>
      <c r="B31" s="5"/>
      <c r="C31" s="2">
        <v>9.6096776712520909E-3</v>
      </c>
      <c r="D31" s="2">
        <v>9.3736900000000005E-3</v>
      </c>
      <c r="E31" s="2">
        <v>6.3510700000000003E-3</v>
      </c>
      <c r="F31" s="11">
        <f t="shared" si="2"/>
        <v>0.6775421418886266</v>
      </c>
      <c r="G31" s="4"/>
      <c r="H31">
        <v>9.3381817414101998E-3</v>
      </c>
      <c r="I31">
        <v>8.6773800000000002E-3</v>
      </c>
      <c r="J31">
        <v>7.1080500000000003E-3</v>
      </c>
      <c r="K31" s="11">
        <f t="shared" si="3"/>
        <v>0.81914702364077641</v>
      </c>
      <c r="L31" s="11"/>
    </row>
    <row r="32" spans="1:12" x14ac:dyDescent="0.3">
      <c r="A32" s="4">
        <v>60</v>
      </c>
      <c r="B32" s="5"/>
      <c r="C32" s="5">
        <v>1.7956202904139199E-2</v>
      </c>
      <c r="D32" s="5">
        <v>1.7499199999999999E-2</v>
      </c>
      <c r="E32" s="5">
        <v>1.25133E-2</v>
      </c>
      <c r="F32" s="12">
        <f t="shared" si="2"/>
        <v>0.71507840358416386</v>
      </c>
      <c r="G32" s="4"/>
      <c r="H32">
        <v>1.8093633576609602E-2</v>
      </c>
      <c r="I32">
        <v>1.6825699999999999E-2</v>
      </c>
      <c r="J32" s="4">
        <v>1.39074E-2</v>
      </c>
      <c r="K32" s="12">
        <f t="shared" si="3"/>
        <v>0.82655699317116083</v>
      </c>
      <c r="L32" s="12"/>
    </row>
    <row r="33" spans="1:12" x14ac:dyDescent="0.3">
      <c r="A33">
        <v>90</v>
      </c>
      <c r="B33" s="5"/>
      <c r="C33" s="2">
        <v>2.54716677488637E-2</v>
      </c>
      <c r="D33" s="2">
        <v>2.4828699999999999E-2</v>
      </c>
      <c r="E33" s="2">
        <v>1.84601E-2</v>
      </c>
      <c r="F33" s="11">
        <f t="shared" si="2"/>
        <v>0.7434984513889169</v>
      </c>
      <c r="G33" s="4"/>
      <c r="H33">
        <v>2.63480432958439E-2</v>
      </c>
      <c r="I33">
        <v>2.4531000000000001E-2</v>
      </c>
      <c r="J33">
        <v>2.07204E-2</v>
      </c>
      <c r="K33" s="11">
        <f t="shared" si="3"/>
        <v>0.84466185642656233</v>
      </c>
      <c r="L33" s="11"/>
    </row>
    <row r="34" spans="1:12" x14ac:dyDescent="0.3">
      <c r="A34" s="4">
        <v>120</v>
      </c>
      <c r="B34" s="5"/>
      <c r="C34" s="5">
        <v>3.2417642839879697E-2</v>
      </c>
      <c r="D34" s="5">
        <v>3.1708199999999999E-2</v>
      </c>
      <c r="E34" s="5">
        <v>2.42372E-2</v>
      </c>
      <c r="F34" s="12">
        <f t="shared" si="2"/>
        <v>0.76438271488132414</v>
      </c>
      <c r="G34" s="4"/>
      <c r="H34">
        <v>3.4169678168819703E-2</v>
      </c>
      <c r="I34">
        <v>3.2010400000000001E-2</v>
      </c>
      <c r="J34" s="4">
        <v>2.7239599999999999E-2</v>
      </c>
      <c r="K34" s="12">
        <f t="shared" si="3"/>
        <v>0.85096093769524894</v>
      </c>
      <c r="L34" s="12"/>
    </row>
    <row r="35" spans="1:12" x14ac:dyDescent="0.3">
      <c r="A35">
        <v>150</v>
      </c>
      <c r="B35" s="5"/>
      <c r="C35" s="2">
        <v>3.9055212834252402E-2</v>
      </c>
      <c r="D35" s="2">
        <v>3.8101599999999999E-2</v>
      </c>
      <c r="E35" s="2">
        <v>2.9995899999999999E-2</v>
      </c>
      <c r="F35" s="11">
        <f t="shared" si="2"/>
        <v>0.78726090242929425</v>
      </c>
      <c r="G35" s="4"/>
      <c r="H35">
        <v>4.1796462699614498E-2</v>
      </c>
      <c r="I35">
        <v>3.8938300000000002E-2</v>
      </c>
      <c r="J35">
        <v>3.3615800000000001E-2</v>
      </c>
      <c r="K35" s="11">
        <f t="shared" si="3"/>
        <v>0.86330938947000768</v>
      </c>
      <c r="L35" s="11"/>
    </row>
    <row r="36" spans="1:12" x14ac:dyDescent="0.3">
      <c r="A36" s="4">
        <v>250</v>
      </c>
      <c r="B36" s="5"/>
      <c r="C36" s="5">
        <v>5.8983323870902299E-2</v>
      </c>
      <c r="D36" s="5">
        <v>5.7845599999999997E-2</v>
      </c>
      <c r="E36" s="5">
        <v>4.82116E-2</v>
      </c>
      <c r="F36" s="12">
        <f t="shared" si="2"/>
        <v>0.83345319263695083</v>
      </c>
      <c r="G36" s="4"/>
      <c r="H36">
        <v>6.5796691976300697E-2</v>
      </c>
      <c r="I36">
        <v>6.1265899999999998E-2</v>
      </c>
      <c r="J36" s="4">
        <v>5.4039499999999997E-2</v>
      </c>
      <c r="K36" s="12">
        <f t="shared" si="3"/>
        <v>0.88204857840984952</v>
      </c>
      <c r="L36" s="12"/>
    </row>
    <row r="37" spans="1:12" x14ac:dyDescent="0.3">
      <c r="A37">
        <v>500</v>
      </c>
      <c r="B37" s="5"/>
      <c r="C37" s="2">
        <v>0.103595084893309</v>
      </c>
      <c r="D37" s="2">
        <v>0.10168199999999999</v>
      </c>
      <c r="E37" s="2">
        <v>8.9687500000000003E-2</v>
      </c>
      <c r="F37" s="11">
        <f t="shared" si="2"/>
        <v>0.88203910229932547</v>
      </c>
      <c r="G37" s="4"/>
      <c r="H37">
        <v>0.11839645185777101</v>
      </c>
      <c r="I37">
        <v>0.111334</v>
      </c>
      <c r="J37">
        <v>0.100496</v>
      </c>
      <c r="K37" s="11">
        <f t="shared" si="3"/>
        <v>0.90265327752528424</v>
      </c>
      <c r="L37" s="11"/>
    </row>
    <row r="38" spans="1:12" x14ac:dyDescent="0.3">
      <c r="A38" s="4">
        <v>750</v>
      </c>
      <c r="B38" s="5"/>
      <c r="C38" s="5">
        <v>0.14519436153500101</v>
      </c>
      <c r="D38" s="5">
        <v>0.142176</v>
      </c>
      <c r="E38" s="5">
        <v>0.12684899999999999</v>
      </c>
      <c r="F38" s="12">
        <f t="shared" si="2"/>
        <v>0.89219699527346386</v>
      </c>
      <c r="G38" s="4"/>
      <c r="H38">
        <v>0.165934052581929</v>
      </c>
      <c r="I38">
        <v>0.15627099999999999</v>
      </c>
      <c r="J38" s="4">
        <v>0.14163000000000001</v>
      </c>
      <c r="K38" s="12">
        <f t="shared" si="3"/>
        <v>0.90631019191020734</v>
      </c>
      <c r="L38" s="12"/>
    </row>
    <row r="39" spans="1:12" x14ac:dyDescent="0.3">
      <c r="A39">
        <v>1000</v>
      </c>
      <c r="B39" s="5"/>
      <c r="C39" s="2">
        <v>0.185920101577397</v>
      </c>
      <c r="D39" s="2">
        <v>0.18161099999999999</v>
      </c>
      <c r="E39" s="2">
        <v>0.162772</v>
      </c>
      <c r="F39" s="11">
        <f t="shared" si="2"/>
        <v>0.89626729658445803</v>
      </c>
      <c r="G39" s="4"/>
      <c r="H39">
        <v>0.211237572970251</v>
      </c>
      <c r="I39">
        <v>0.197962</v>
      </c>
      <c r="J39">
        <v>0.17882999999999999</v>
      </c>
      <c r="K39" s="11">
        <f t="shared" si="3"/>
        <v>0.90335518937977988</v>
      </c>
      <c r="L39" s="11"/>
    </row>
    <row r="43" spans="1:12" x14ac:dyDescent="0.3">
      <c r="C43" s="1" t="s">
        <v>9</v>
      </c>
    </row>
    <row r="44" spans="1:12" x14ac:dyDescent="0.3">
      <c r="C44" s="15" t="s">
        <v>2</v>
      </c>
      <c r="D44" s="15"/>
      <c r="E44" s="16"/>
      <c r="H44" s="2"/>
      <c r="I44" s="2"/>
      <c r="J44" s="2"/>
      <c r="K44" s="2"/>
    </row>
    <row r="45" spans="1:12" x14ac:dyDescent="0.3">
      <c r="C45" s="3" t="s">
        <v>4</v>
      </c>
      <c r="D45" s="3"/>
      <c r="E45" s="10"/>
      <c r="F45" s="3"/>
      <c r="H45" s="3" t="s">
        <v>3</v>
      </c>
      <c r="I45" s="3"/>
      <c r="J45" s="10"/>
      <c r="K45" s="10"/>
    </row>
    <row r="46" spans="1:12" x14ac:dyDescent="0.3">
      <c r="A46" s="6" t="s">
        <v>0</v>
      </c>
      <c r="B46" s="6"/>
      <c r="C46" s="6" t="s">
        <v>1</v>
      </c>
      <c r="D46" s="6" t="s">
        <v>7</v>
      </c>
      <c r="E46" s="6" t="s">
        <v>6</v>
      </c>
      <c r="F46" s="8" t="s">
        <v>8</v>
      </c>
      <c r="G46" s="9"/>
      <c r="H46" s="6" t="s">
        <v>1</v>
      </c>
      <c r="I46" s="6" t="s">
        <v>7</v>
      </c>
      <c r="J46" s="6" t="s">
        <v>6</v>
      </c>
      <c r="K46" s="8" t="s">
        <v>8</v>
      </c>
    </row>
    <row r="47" spans="1:12" x14ac:dyDescent="0.3">
      <c r="A47">
        <v>0.1</v>
      </c>
      <c r="B47" s="5"/>
      <c r="C47">
        <v>1.38755773111088</v>
      </c>
      <c r="D47" s="11">
        <v>1.27874</v>
      </c>
      <c r="E47" s="11">
        <v>1.27806</v>
      </c>
      <c r="F47" s="11">
        <f>E47/D47</f>
        <v>0.99946822653549583</v>
      </c>
      <c r="G47" s="4"/>
      <c r="K47" s="11" t="e">
        <f>J47/I47</f>
        <v>#DIV/0!</v>
      </c>
    </row>
    <row r="48" spans="1:12" x14ac:dyDescent="0.3">
      <c r="A48" s="4">
        <v>15</v>
      </c>
      <c r="B48" s="5"/>
      <c r="C48">
        <v>1.38409520401011</v>
      </c>
      <c r="D48" s="12">
        <v>1.27406</v>
      </c>
      <c r="E48" s="12">
        <v>1.2755799999999999</v>
      </c>
      <c r="F48" s="12">
        <f t="shared" ref="F48:F57" si="4">E48/D48</f>
        <v>1.0011930364347048</v>
      </c>
      <c r="G48" s="4"/>
      <c r="H48" s="4"/>
      <c r="I48" s="4"/>
      <c r="J48" s="4"/>
      <c r="K48" s="12" t="e">
        <f t="shared" ref="K48:K57" si="5">J48/I48</f>
        <v>#DIV/0!</v>
      </c>
    </row>
    <row r="49" spans="1:11" x14ac:dyDescent="0.3">
      <c r="A49">
        <v>30</v>
      </c>
      <c r="B49" s="5"/>
      <c r="C49">
        <v>1.3811622398640599</v>
      </c>
      <c r="D49" s="11">
        <v>1.27199</v>
      </c>
      <c r="E49" s="11">
        <v>1.27308</v>
      </c>
      <c r="F49" s="11">
        <f t="shared" si="4"/>
        <v>1.0008569249758252</v>
      </c>
      <c r="G49" s="4"/>
      <c r="K49" s="11" t="e">
        <f t="shared" si="5"/>
        <v>#DIV/0!</v>
      </c>
    </row>
    <row r="50" spans="1:11" x14ac:dyDescent="0.3">
      <c r="A50" s="4">
        <v>60</v>
      </c>
      <c r="B50" s="5"/>
      <c r="C50">
        <v>1.37486493369789</v>
      </c>
      <c r="D50" s="12">
        <v>1.27121</v>
      </c>
      <c r="E50" s="12">
        <v>1.2712000000000001</v>
      </c>
      <c r="F50" s="12">
        <f t="shared" si="4"/>
        <v>0.9999921334791263</v>
      </c>
      <c r="G50" s="4"/>
      <c r="H50" s="4"/>
      <c r="I50" s="4"/>
      <c r="J50" s="4"/>
      <c r="K50" s="12" t="e">
        <f t="shared" si="5"/>
        <v>#DIV/0!</v>
      </c>
    </row>
    <row r="51" spans="1:11" x14ac:dyDescent="0.3">
      <c r="A51">
        <v>90</v>
      </c>
      <c r="B51" s="5"/>
      <c r="C51">
        <v>1.36350384779266</v>
      </c>
      <c r="D51" s="11">
        <v>1.2685999999999999</v>
      </c>
      <c r="E51" s="11">
        <v>1.2703800000000001</v>
      </c>
      <c r="F51" s="11">
        <f t="shared" si="4"/>
        <v>1.0014031215513166</v>
      </c>
      <c r="G51" s="4"/>
      <c r="K51" s="11" t="e">
        <f t="shared" si="5"/>
        <v>#DIV/0!</v>
      </c>
    </row>
    <row r="52" spans="1:11" x14ac:dyDescent="0.3">
      <c r="A52" s="4">
        <v>120</v>
      </c>
      <c r="B52" s="5"/>
      <c r="C52">
        <v>1.3571706170428599</v>
      </c>
      <c r="D52" s="12">
        <v>1.2664</v>
      </c>
      <c r="E52" s="12">
        <v>1.26895</v>
      </c>
      <c r="F52" s="12">
        <f t="shared" si="4"/>
        <v>1.0020135818066962</v>
      </c>
      <c r="G52" s="4"/>
      <c r="H52" s="4"/>
      <c r="I52" s="4"/>
      <c r="J52" s="4"/>
      <c r="K52" s="12" t="e">
        <f t="shared" si="5"/>
        <v>#DIV/0!</v>
      </c>
    </row>
    <row r="53" spans="1:11" x14ac:dyDescent="0.3">
      <c r="A53">
        <v>150</v>
      </c>
      <c r="B53" s="5"/>
      <c r="C53">
        <v>1.35109721915133</v>
      </c>
      <c r="D53" s="11">
        <v>1.2638199999999999</v>
      </c>
      <c r="E53" s="11">
        <v>1.26738</v>
      </c>
      <c r="F53" s="11">
        <f t="shared" si="4"/>
        <v>1.0028168568308777</v>
      </c>
      <c r="G53" s="4"/>
      <c r="K53" s="11" t="e">
        <f t="shared" si="5"/>
        <v>#DIV/0!</v>
      </c>
    </row>
    <row r="54" spans="1:11" x14ac:dyDescent="0.3">
      <c r="A54" s="4">
        <v>250</v>
      </c>
      <c r="B54" s="5"/>
      <c r="C54">
        <v>1.32844051248484</v>
      </c>
      <c r="D54" s="12">
        <v>1.2555799999999999</v>
      </c>
      <c r="E54" s="12">
        <v>1.2623899999999999</v>
      </c>
      <c r="F54" s="12">
        <f t="shared" si="4"/>
        <v>1.005423788209433</v>
      </c>
      <c r="G54" s="4"/>
      <c r="H54" s="4"/>
      <c r="I54" s="4"/>
      <c r="J54" s="4"/>
      <c r="K54" s="12" t="e">
        <f t="shared" si="5"/>
        <v>#DIV/0!</v>
      </c>
    </row>
    <row r="55" spans="1:11" x14ac:dyDescent="0.3">
      <c r="A55">
        <v>500</v>
      </c>
      <c r="B55" s="5"/>
      <c r="C55">
        <v>1.26939305918802</v>
      </c>
      <c r="D55" s="11">
        <v>1.2267699999999999</v>
      </c>
      <c r="E55" s="11">
        <v>1.24044</v>
      </c>
      <c r="F55" s="11">
        <f t="shared" si="4"/>
        <v>1.0111430830555035</v>
      </c>
      <c r="G55" s="4"/>
      <c r="K55" s="11" t="e">
        <f t="shared" si="5"/>
        <v>#DIV/0!</v>
      </c>
    </row>
    <row r="56" spans="1:11" x14ac:dyDescent="0.3">
      <c r="A56" s="4">
        <v>750</v>
      </c>
      <c r="B56" s="5"/>
      <c r="C56">
        <v>1.2146497361047901</v>
      </c>
      <c r="D56" s="12">
        <v>1.1913899999999999</v>
      </c>
      <c r="E56" s="12">
        <v>1.21323</v>
      </c>
      <c r="F56" s="12">
        <f t="shared" si="4"/>
        <v>1.0183315287185557</v>
      </c>
      <c r="G56" s="4"/>
      <c r="H56" s="4"/>
      <c r="I56" s="4"/>
      <c r="J56" s="4"/>
      <c r="K56" s="12" t="e">
        <f t="shared" si="5"/>
        <v>#DIV/0!</v>
      </c>
    </row>
    <row r="57" spans="1:11" x14ac:dyDescent="0.3">
      <c r="A57">
        <v>1000</v>
      </c>
      <c r="B57" s="5"/>
      <c r="C57">
        <v>1.1436421352186501</v>
      </c>
      <c r="D57" s="11">
        <v>1.15045</v>
      </c>
      <c r="E57" s="11">
        <v>1.1808000000000001</v>
      </c>
      <c r="F57" s="11">
        <f t="shared" si="4"/>
        <v>1.0263809813551219</v>
      </c>
      <c r="G57" s="4"/>
      <c r="K57" s="11" t="e">
        <f t="shared" si="5"/>
        <v>#DIV/0!</v>
      </c>
    </row>
    <row r="61" spans="1:11" x14ac:dyDescent="0.3">
      <c r="C61" s="13" t="s">
        <v>5</v>
      </c>
      <c r="D61" s="13"/>
      <c r="E61" s="14"/>
      <c r="F61" s="14"/>
      <c r="H61" s="2"/>
      <c r="I61" s="2"/>
      <c r="J61" s="2"/>
      <c r="K61" s="2"/>
    </row>
    <row r="62" spans="1:11" x14ac:dyDescent="0.3">
      <c r="C62" s="3" t="s">
        <v>4</v>
      </c>
      <c r="D62" s="3"/>
      <c r="E62" s="10"/>
      <c r="F62" s="3"/>
      <c r="H62" s="3" t="s">
        <v>3</v>
      </c>
      <c r="I62" s="3"/>
      <c r="J62" s="10"/>
      <c r="K62" s="10"/>
    </row>
    <row r="63" spans="1:11" x14ac:dyDescent="0.3">
      <c r="A63" s="6" t="s">
        <v>0</v>
      </c>
      <c r="B63" s="6"/>
      <c r="C63" s="6" t="s">
        <v>1</v>
      </c>
      <c r="D63" s="6" t="s">
        <v>7</v>
      </c>
      <c r="E63" s="6" t="s">
        <v>6</v>
      </c>
      <c r="F63" s="8" t="s">
        <v>8</v>
      </c>
      <c r="G63" s="9"/>
      <c r="H63" s="6" t="s">
        <v>1</v>
      </c>
      <c r="I63" s="6" t="s">
        <v>7</v>
      </c>
      <c r="J63" s="6" t="s">
        <v>6</v>
      </c>
      <c r="K63" s="8" t="s">
        <v>8</v>
      </c>
    </row>
    <row r="64" spans="1:11" x14ac:dyDescent="0.3">
      <c r="A64">
        <v>0.1</v>
      </c>
      <c r="B64" s="5"/>
      <c r="C64" s="2">
        <v>2.0906018648200899E-5</v>
      </c>
      <c r="D64" s="2">
        <v>1.8730299999999999E-5</v>
      </c>
      <c r="E64" s="2">
        <v>1.8184499999999998E-5</v>
      </c>
      <c r="F64" s="11">
        <f>E64/D64</f>
        <v>0.97086005029284095</v>
      </c>
      <c r="G64" s="4"/>
      <c r="H64" s="2"/>
      <c r="I64" s="2"/>
      <c r="J64" s="2"/>
      <c r="K64" s="11" t="e">
        <f>J64/I64</f>
        <v>#DIV/0!</v>
      </c>
    </row>
    <row r="65" spans="1:11" x14ac:dyDescent="0.3">
      <c r="A65" s="4">
        <v>15</v>
      </c>
      <c r="B65" s="5"/>
      <c r="C65" s="2">
        <v>3.1327203465188001E-3</v>
      </c>
      <c r="D65" s="5">
        <v>2.8060200000000002E-3</v>
      </c>
      <c r="E65" s="5">
        <v>2.75626E-3</v>
      </c>
      <c r="F65" s="12">
        <f t="shared" ref="F65:F74" si="6">E65/D65</f>
        <v>0.98226669802781152</v>
      </c>
      <c r="G65" s="4"/>
      <c r="J65" s="4"/>
      <c r="K65" s="12" t="e">
        <f t="shared" ref="K65:K74" si="7">J65/I65</f>
        <v>#DIV/0!</v>
      </c>
    </row>
    <row r="66" spans="1:11" x14ac:dyDescent="0.3">
      <c r="A66">
        <v>30</v>
      </c>
      <c r="B66" s="5"/>
      <c r="C66" s="2">
        <v>6.2691724987101998E-3</v>
      </c>
      <c r="D66" s="2">
        <v>5.6323099999999997E-3</v>
      </c>
      <c r="E66" s="2">
        <v>5.5112399999999997E-3</v>
      </c>
      <c r="F66" s="11">
        <f t="shared" si="6"/>
        <v>0.97850437919787792</v>
      </c>
      <c r="G66" s="4"/>
      <c r="K66" s="11" t="e">
        <f t="shared" si="7"/>
        <v>#DIV/0!</v>
      </c>
    </row>
    <row r="67" spans="1:11" x14ac:dyDescent="0.3">
      <c r="A67" s="4">
        <v>60</v>
      </c>
      <c r="B67" s="5"/>
      <c r="C67" s="2">
        <v>1.2558983712415E-2</v>
      </c>
      <c r="D67" s="5">
        <v>1.1343499999999999E-2</v>
      </c>
      <c r="E67" s="5">
        <v>1.1108E-2</v>
      </c>
      <c r="F67" s="12">
        <f t="shared" si="6"/>
        <v>0.97923921188345753</v>
      </c>
      <c r="G67" s="4"/>
      <c r="J67" s="4"/>
      <c r="K67" s="12" t="e">
        <f t="shared" si="7"/>
        <v>#DIV/0!</v>
      </c>
    </row>
    <row r="68" spans="1:11" x14ac:dyDescent="0.3">
      <c r="A68">
        <v>90</v>
      </c>
      <c r="B68" s="5"/>
      <c r="C68" s="2">
        <v>1.8782496824776201E-2</v>
      </c>
      <c r="D68" s="2">
        <v>1.7124400000000001E-2</v>
      </c>
      <c r="E68" s="2">
        <v>1.6733899999999999E-2</v>
      </c>
      <c r="F68" s="11">
        <f t="shared" si="6"/>
        <v>0.97719628132956471</v>
      </c>
      <c r="G68" s="4"/>
      <c r="K68" s="11" t="e">
        <f t="shared" si="7"/>
        <v>#DIV/0!</v>
      </c>
    </row>
    <row r="69" spans="1:11" x14ac:dyDescent="0.3">
      <c r="A69" s="4">
        <v>120</v>
      </c>
      <c r="B69" s="5"/>
      <c r="C69" s="2">
        <v>2.51046376970986E-2</v>
      </c>
      <c r="D69" s="5">
        <v>2.2992700000000001E-2</v>
      </c>
      <c r="E69" s="5">
        <v>2.2425400000000002E-2</v>
      </c>
      <c r="F69" s="12">
        <f t="shared" si="6"/>
        <v>0.97532695159768101</v>
      </c>
      <c r="G69" s="4"/>
      <c r="J69" s="4"/>
      <c r="K69" s="12" t="e">
        <f t="shared" si="7"/>
        <v>#DIV/0!</v>
      </c>
    </row>
    <row r="70" spans="1:11" x14ac:dyDescent="0.3">
      <c r="A70">
        <v>150</v>
      </c>
      <c r="B70" s="5"/>
      <c r="C70" s="2">
        <v>3.1476119846668899E-2</v>
      </c>
      <c r="D70" s="2">
        <v>2.8913999999999999E-2</v>
      </c>
      <c r="E70" s="2">
        <v>2.81596E-2</v>
      </c>
      <c r="F70" s="11">
        <f t="shared" si="6"/>
        <v>0.9739088330912361</v>
      </c>
      <c r="G70" s="4"/>
      <c r="K70" s="11" t="e">
        <f t="shared" si="7"/>
        <v>#DIV/0!</v>
      </c>
    </row>
    <row r="71" spans="1:11" x14ac:dyDescent="0.3">
      <c r="A71" s="4">
        <v>250</v>
      </c>
      <c r="B71" s="5"/>
      <c r="C71" s="2">
        <v>5.2878603388737497E-2</v>
      </c>
      <c r="D71" s="5">
        <v>4.9216599999999999E-2</v>
      </c>
      <c r="E71" s="5">
        <v>4.7779500000000003E-2</v>
      </c>
      <c r="F71" s="12">
        <f t="shared" si="6"/>
        <v>0.9708005022695595</v>
      </c>
      <c r="G71" s="4"/>
      <c r="J71" s="4"/>
      <c r="K71" s="12" t="e">
        <f t="shared" si="7"/>
        <v>#DIV/0!</v>
      </c>
    </row>
    <row r="72" spans="1:11" x14ac:dyDescent="0.3">
      <c r="A72">
        <v>500</v>
      </c>
      <c r="B72" s="5"/>
      <c r="C72" s="2">
        <v>0.107716927588289</v>
      </c>
      <c r="D72" s="2">
        <v>0.10314</v>
      </c>
      <c r="E72" s="2">
        <v>9.8996600000000004E-2</v>
      </c>
      <c r="F72" s="11">
        <f t="shared" si="6"/>
        <v>0.9598274190420788</v>
      </c>
      <c r="G72" s="4"/>
      <c r="K72" s="11" t="e">
        <f t="shared" si="7"/>
        <v>#DIV/0!</v>
      </c>
    </row>
    <row r="73" spans="1:11" x14ac:dyDescent="0.3">
      <c r="A73" s="4">
        <v>750</v>
      </c>
      <c r="B73" s="5"/>
      <c r="C73" s="2">
        <v>0.16515386445267599</v>
      </c>
      <c r="D73" s="5">
        <v>0.161167</v>
      </c>
      <c r="E73" s="5">
        <v>0.15277399999999999</v>
      </c>
      <c r="F73" s="12">
        <f t="shared" si="6"/>
        <v>0.94792358237108088</v>
      </c>
      <c r="G73" s="4"/>
      <c r="J73" s="4"/>
      <c r="K73" s="12" t="e">
        <f t="shared" si="7"/>
        <v>#DIV/0!</v>
      </c>
    </row>
    <row r="74" spans="1:11" x14ac:dyDescent="0.3">
      <c r="A74">
        <v>1000</v>
      </c>
      <c r="B74" s="5"/>
      <c r="C74" s="2">
        <v>0.22114304090137801</v>
      </c>
      <c r="D74" s="2">
        <v>0.2225</v>
      </c>
      <c r="E74" s="2">
        <v>0.20890400000000001</v>
      </c>
      <c r="F74" s="11">
        <f t="shared" si="6"/>
        <v>0.93889438202247189</v>
      </c>
      <c r="G74" s="4"/>
      <c r="K74" s="11" t="e">
        <f t="shared" si="7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2026-03-11T05:19:26Z</dcterms:modified>
</cp:coreProperties>
</file>