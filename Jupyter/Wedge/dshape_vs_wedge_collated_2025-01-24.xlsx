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CNP\emma-openmc\Jupyter\Wedge\"/>
    </mc:Choice>
  </mc:AlternateContent>
  <xr:revisionPtr revIDLastSave="0" documentId="13_ncr:1_{3BA51153-5E6C-4F27-9148-F6D88914604E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2" i="3"/>
  <c r="J21" i="3"/>
  <c r="J20" i="3"/>
  <c r="J19" i="3"/>
  <c r="J18" i="3"/>
  <c r="J17" i="3"/>
  <c r="J16" i="3"/>
  <c r="J15" i="3"/>
  <c r="J14" i="3"/>
  <c r="J13" i="3"/>
  <c r="J12" i="3"/>
  <c r="J11" i="3"/>
  <c r="J42" i="3"/>
  <c r="J31" i="3"/>
  <c r="J32" i="3"/>
  <c r="J33" i="3"/>
  <c r="J34" i="3"/>
  <c r="J35" i="3"/>
  <c r="J36" i="3"/>
  <c r="J37" i="3"/>
  <c r="J38" i="3"/>
  <c r="J39" i="3"/>
  <c r="J40" i="3"/>
  <c r="J41" i="3"/>
  <c r="J30" i="3"/>
  <c r="E42" i="3"/>
  <c r="I42" i="3"/>
  <c r="I41" i="3"/>
  <c r="E41" i="3"/>
  <c r="I40" i="3"/>
  <c r="E40" i="3"/>
  <c r="I39" i="3"/>
  <c r="E39" i="3"/>
  <c r="I38" i="3"/>
  <c r="E38" i="3"/>
  <c r="I37" i="3"/>
  <c r="E37" i="3"/>
  <c r="I36" i="3"/>
  <c r="E36" i="3"/>
  <c r="I35" i="3"/>
  <c r="E35" i="3"/>
  <c r="I34" i="3"/>
  <c r="E34" i="3"/>
  <c r="I33" i="3"/>
  <c r="E33" i="3"/>
  <c r="I32" i="3"/>
  <c r="E32" i="3"/>
  <c r="I31" i="3"/>
  <c r="E31" i="3"/>
  <c r="I30" i="3"/>
  <c r="E30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D23" i="3"/>
  <c r="D22" i="3"/>
  <c r="D21" i="3"/>
  <c r="D20" i="3"/>
  <c r="D19" i="3"/>
  <c r="D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E23" i="3"/>
  <c r="E22" i="3"/>
  <c r="E21" i="3"/>
  <c r="E20" i="3"/>
  <c r="E19" i="3"/>
  <c r="E18" i="3"/>
</calcChain>
</file>

<file path=xl/sharedStrings.xml><?xml version="1.0" encoding="utf-8"?>
<sst xmlns="http://schemas.openxmlformats.org/spreadsheetml/2006/main" count="22" uniqueCount="9">
  <si>
    <t>Fertile kg/m3</t>
  </si>
  <si>
    <t>D-shape</t>
  </si>
  <si>
    <t>TRITIUM BREEDING RATIO [ RXNS/SRC-N ]</t>
  </si>
  <si>
    <t>Wedge</t>
  </si>
  <si>
    <t>Wedge/D-shape</t>
  </si>
  <si>
    <t>Thorium BISO</t>
  </si>
  <si>
    <t>Uranium BISO</t>
  </si>
  <si>
    <t>FISSILE PRODUCTION RATE [ RXNS/SRC-N ]</t>
  </si>
  <si>
    <t>D-shape/wedge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</si>
</sst>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  <xf numFmtId="164" fontId="0" fillId="0" borderId="0" xfId="0" applyNumberFormat="1"/>
    <xf numFmtId="0" fontId="1" fillId="2" borderId="0" xfId="0" quotePrefix="1" applyFont="1" applyFill="1"/>
    <xf numFmtId="0" fontId="0" fillId="2" borderId="0" xfId="0" applyFill="1"/>
    <xf numFmtId="0" fontId="1" fillId="3" borderId="0" xfId="0" applyFont="1" applyFill="1"/>
    <xf numFmtId="11" fontId="1" fillId="0" borderId="0" xfId="0" applyNumberFormat="1" applyFont="1"/>
    <xf numFmtId="165" fontId="0" fillId="0" borderId="0" xfId="0" applyNumberFormat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vs. Wedge TBRs - Uranium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D-shape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1'!$C$11:$C$23</c:f>
              <c:numCache>
                <c:formatCode>General</c:formatCode>
                <c:ptCount val="13"/>
                <c:pt idx="0">
                  <c:v>1.40420707746021</c:v>
                </c:pt>
                <c:pt idx="1">
                  <c:v>1.4042408208581401</c:v>
                </c:pt>
                <c:pt idx="2">
                  <c:v>1.4037049162311801</c:v>
                </c:pt>
                <c:pt idx="3">
                  <c:v>1.3978225806626601</c:v>
                </c:pt>
                <c:pt idx="4">
                  <c:v>1.3935791421766499</c:v>
                </c:pt>
                <c:pt idx="5">
                  <c:v>1.38536063754419</c:v>
                </c:pt>
                <c:pt idx="6">
                  <c:v>1.37856347972413</c:v>
                </c:pt>
                <c:pt idx="7">
                  <c:v>1.3699400435562701</c:v>
                </c:pt>
                <c:pt idx="8">
                  <c:v>1.3618779251700099</c:v>
                </c:pt>
                <c:pt idx="9">
                  <c:v>1.34128105403747</c:v>
                </c:pt>
                <c:pt idx="10">
                  <c:v>1.2896852557910301</c:v>
                </c:pt>
                <c:pt idx="11">
                  <c:v>1.24225887840578</c:v>
                </c:pt>
                <c:pt idx="12">
                  <c:v>1.1938794039418501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5-4A2A-98A9-749616507212}"/>
            </c:ext>
          </c:extLst>
        </c:ser>
        <c:ser>
          <c:idx val="1"/>
          <c:order val="1"/>
          <c:tx>
            <c:v>Wedge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1'!$D$11:$D$23</c:f>
              <c:numCache>
                <c:formatCode>General</c:formatCode>
                <c:ptCount val="13"/>
                <c:pt idx="0">
                  <c:v>1.3791474000000001</c:v>
                </c:pt>
                <c:pt idx="1">
                  <c:v>1.3790180999999999</c:v>
                </c:pt>
                <c:pt idx="2">
                  <c:v>1.3789032000000001</c:v>
                </c:pt>
                <c:pt idx="3">
                  <c:v>1.375659</c:v>
                </c:pt>
                <c:pt idx="4">
                  <c:v>1.3743595</c:v>
                </c:pt>
                <c:pt idx="5">
                  <c:v>1.3686853999999999</c:v>
                </c:pt>
                <c:pt idx="6">
                  <c:v>1.3632628</c:v>
                </c:pt>
                <c:pt idx="7">
                  <c:v>1.357774</c:v>
                </c:pt>
                <c:pt idx="8">
                  <c:v>1.3511147999999999</c:v>
                </c:pt>
                <c:pt idx="9">
                  <c:v>1.3364325000000001</c:v>
                </c:pt>
                <c:pt idx="10">
                  <c:v>1.3004206</c:v>
                </c:pt>
                <c:pt idx="11">
                  <c:v>1.2678955999999999</c:v>
                </c:pt>
                <c:pt idx="12">
                  <c:v>1.2406356999999999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5-4A2A-98A9-74961650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996992"/>
        <c:axId val="2042996512"/>
      </c:scatterChart>
      <c:valAx>
        <c:axId val="204299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96512"/>
        <c:crosses val="autoZero"/>
        <c:crossBetween val="midCat"/>
      </c:valAx>
      <c:valAx>
        <c:axId val="20429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9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vs. Wedge TBRs - Thorium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D-shape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1'!$G$11:$G$23</c:f>
              <c:numCache>
                <c:formatCode>General</c:formatCode>
                <c:ptCount val="13"/>
                <c:pt idx="0">
                  <c:v>1.4043892076542099</c:v>
                </c:pt>
                <c:pt idx="1">
                  <c:v>1.40439738055425</c:v>
                </c:pt>
                <c:pt idx="2">
                  <c:v>1.4041504591101699</c:v>
                </c:pt>
                <c:pt idx="3">
                  <c:v>1.3977474767840601</c:v>
                </c:pt>
                <c:pt idx="4">
                  <c:v>1.3923333952149399</c:v>
                </c:pt>
                <c:pt idx="5">
                  <c:v>1.3811147115786999</c:v>
                </c:pt>
                <c:pt idx="6">
                  <c:v>1.3698685473168299</c:v>
                </c:pt>
                <c:pt idx="7">
                  <c:v>1.35986137171571</c:v>
                </c:pt>
                <c:pt idx="8">
                  <c:v>1.34863286309854</c:v>
                </c:pt>
                <c:pt idx="9">
                  <c:v>1.31869938927708</c:v>
                </c:pt>
                <c:pt idx="10">
                  <c:v>1.24433347413396</c:v>
                </c:pt>
                <c:pt idx="11">
                  <c:v>1.1765306054398399</c:v>
                </c:pt>
                <c:pt idx="12">
                  <c:v>1.1108715265371401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A-4422-A5FE-4A0647C9DC9E}"/>
            </c:ext>
          </c:extLst>
        </c:ser>
        <c:ser>
          <c:idx val="1"/>
          <c:order val="1"/>
          <c:tx>
            <c:v>Wedge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1'!$H$11:$H$23</c:f>
              <c:numCache>
                <c:formatCode>General</c:formatCode>
                <c:ptCount val="13"/>
                <c:pt idx="0">
                  <c:v>1.3792986999999999</c:v>
                </c:pt>
                <c:pt idx="1">
                  <c:v>1.3789781000000001</c:v>
                </c:pt>
                <c:pt idx="2">
                  <c:v>1.3787830999999999</c:v>
                </c:pt>
                <c:pt idx="3">
                  <c:v>1.3739793999999999</c:v>
                </c:pt>
                <c:pt idx="4">
                  <c:v>1.3703977000000001</c:v>
                </c:pt>
                <c:pt idx="5">
                  <c:v>1.3636072000000001</c:v>
                </c:pt>
                <c:pt idx="6">
                  <c:v>1.3549985</c:v>
                </c:pt>
                <c:pt idx="7">
                  <c:v>1.3467666</c:v>
                </c:pt>
                <c:pt idx="8">
                  <c:v>1.3383919</c:v>
                </c:pt>
                <c:pt idx="9">
                  <c:v>1.3141323</c:v>
                </c:pt>
                <c:pt idx="10">
                  <c:v>1.2615558</c:v>
                </c:pt>
                <c:pt idx="11">
                  <c:v>1.2101024</c:v>
                </c:pt>
                <c:pt idx="12">
                  <c:v>1.164342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A-4422-A5FE-4A0647C9D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670752"/>
        <c:axId val="560665472"/>
      </c:scatterChart>
      <c:valAx>
        <c:axId val="56067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65472"/>
        <c:crosses val="autoZero"/>
        <c:crossBetween val="midCat"/>
      </c:valAx>
      <c:valAx>
        <c:axId val="560665472"/>
        <c:scaling>
          <c:orientation val="minMax"/>
          <c:min val="1.15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7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Wedge/D-shape TBR Ratio - U vs. 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Uranium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1'!$E$11:$E$23</c:f>
              <c:numCache>
                <c:formatCode>0.000000</c:formatCode>
                <c:ptCount val="13"/>
                <c:pt idx="0">
                  <c:v>0.98215385902659358</c:v>
                </c:pt>
                <c:pt idx="1">
                  <c:v>0.98203818000196974</c:v>
                </c:pt>
                <c:pt idx="2">
                  <c:v>0.98233124644332637</c:v>
                </c:pt>
                <c:pt idx="3">
                  <c:v>0.98414421045326572</c:v>
                </c:pt>
                <c:pt idx="4">
                  <c:v>0.98620843151639703</c:v>
                </c:pt>
                <c:pt idx="5">
                  <c:v>0.9879632515229031</c:v>
                </c:pt>
                <c:pt idx="6">
                  <c:v>0.98890099734312431</c:v>
                </c:pt>
                <c:pt idx="7">
                  <c:v>0.99111928758233259</c:v>
                </c:pt>
                <c:pt idx="8">
                  <c:v>0.9920968502601536</c:v>
                </c:pt>
                <c:pt idx="9">
                  <c:v>0.99638513194317113</c:v>
                </c:pt>
                <c:pt idx="10">
                  <c:v>1.0083240032099037</c:v>
                </c:pt>
                <c:pt idx="11">
                  <c:v>1.0206371812187167</c:v>
                </c:pt>
                <c:pt idx="12">
                  <c:v>1.0391633324972136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A-4713-A072-FD7DD5FDC9BA}"/>
            </c:ext>
          </c:extLst>
        </c:ser>
        <c:ser>
          <c:idx val="1"/>
          <c:order val="1"/>
          <c:tx>
            <c:v>Thorium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1'!$A$11:$A$23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1'!$I$11:$I$23</c:f>
              <c:numCache>
                <c:formatCode>0.000000</c:formatCode>
                <c:ptCount val="13"/>
                <c:pt idx="0">
                  <c:v>0.9821342206865008</c:v>
                </c:pt>
                <c:pt idx="1">
                  <c:v>0.9819002221833979</c:v>
                </c:pt>
                <c:pt idx="2">
                  <c:v>0.98193401643991507</c:v>
                </c:pt>
                <c:pt idx="3">
                  <c:v>0.98299544289734953</c:v>
                </c:pt>
                <c:pt idx="4">
                  <c:v>0.98424537162555559</c:v>
                </c:pt>
                <c:pt idx="5">
                  <c:v>0.9873236368913284</c:v>
                </c:pt>
                <c:pt idx="6">
                  <c:v>0.98914490930830112</c:v>
                </c:pt>
                <c:pt idx="7">
                  <c:v>0.99037050982690356</c:v>
                </c:pt>
                <c:pt idx="8">
                  <c:v>0.99240641142689423</c:v>
                </c:pt>
                <c:pt idx="9">
                  <c:v>0.9965366714247258</c:v>
                </c:pt>
                <c:pt idx="10">
                  <c:v>1.0138406032016671</c:v>
                </c:pt>
                <c:pt idx="11">
                  <c:v>1.0285345696957959</c:v>
                </c:pt>
                <c:pt idx="12">
                  <c:v>1.0481338050220268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A-4713-A072-FD7DD5FD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997472"/>
        <c:axId val="2051251168"/>
      </c:scatterChart>
      <c:valAx>
        <c:axId val="20429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51168"/>
        <c:crosses val="autoZero"/>
        <c:crossBetween val="midCat"/>
      </c:valAx>
      <c:valAx>
        <c:axId val="20512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9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vs. Wedge U238(n,g)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D-shape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1'!$C$30:$C$42</c:f>
              <c:numCache>
                <c:formatCode>0.00E+00</c:formatCode>
                <c:ptCount val="13"/>
                <c:pt idx="0">
                  <c:v>3.52725672373683E-5</c:v>
                </c:pt>
                <c:pt idx="1">
                  <c:v>1.76088265923015E-4</c:v>
                </c:pt>
                <c:pt idx="2">
                  <c:v>5.2684723504348998E-4</c:v>
                </c:pt>
                <c:pt idx="3">
                  <c:v>5.02535867346246E-3</c:v>
                </c:pt>
                <c:pt idx="4">
                  <c:v>9.6096776712520909E-3</c:v>
                </c:pt>
                <c:pt idx="5">
                  <c:v>1.7956202904139199E-2</c:v>
                </c:pt>
                <c:pt idx="6">
                  <c:v>2.54716677488637E-2</c:v>
                </c:pt>
                <c:pt idx="7">
                  <c:v>3.2417642839879697E-2</c:v>
                </c:pt>
                <c:pt idx="8">
                  <c:v>3.9055212834252402E-2</c:v>
                </c:pt>
                <c:pt idx="9">
                  <c:v>5.8983323870902299E-2</c:v>
                </c:pt>
                <c:pt idx="10">
                  <c:v>0.103595084893309</c:v>
                </c:pt>
                <c:pt idx="11">
                  <c:v>0.14519436153500101</c:v>
                </c:pt>
                <c:pt idx="12">
                  <c:v>0.185920101577397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0-4D26-AF74-F18AF3BADA8F}"/>
            </c:ext>
          </c:extLst>
        </c:ser>
        <c:ser>
          <c:idx val="1"/>
          <c:order val="1"/>
          <c:tx>
            <c:v>Wedge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1'!$D$30:$D$42</c:f>
              <c:numCache>
                <c:formatCode>0.00E+00</c:formatCode>
                <c:ptCount val="13"/>
                <c:pt idx="0">
                  <c:v>2.1398000000000001E-5</c:v>
                </c:pt>
                <c:pt idx="1">
                  <c:v>1.0739300000000001E-4</c:v>
                </c:pt>
                <c:pt idx="2">
                  <c:v>3.2153200000000002E-4</c:v>
                </c:pt>
                <c:pt idx="3">
                  <c:v>3.2092700000000002E-3</c:v>
                </c:pt>
                <c:pt idx="4">
                  <c:v>6.3941700000000002E-3</c:v>
                </c:pt>
                <c:pt idx="5">
                  <c:v>1.24683E-2</c:v>
                </c:pt>
                <c:pt idx="6">
                  <c:v>1.86032E-2</c:v>
                </c:pt>
                <c:pt idx="7">
                  <c:v>2.4458799999999999E-2</c:v>
                </c:pt>
                <c:pt idx="8">
                  <c:v>2.9931300000000001E-2</c:v>
                </c:pt>
                <c:pt idx="9">
                  <c:v>4.8447299999999999E-2</c:v>
                </c:pt>
                <c:pt idx="10">
                  <c:v>8.9392399999999997E-2</c:v>
                </c:pt>
                <c:pt idx="11">
                  <c:v>0.12684899999999999</c:v>
                </c:pt>
                <c:pt idx="12">
                  <c:v>0.162772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A0-4D26-AF74-F18AF3BA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94304"/>
        <c:axId val="1841192384"/>
      </c:scatterChart>
      <c:valAx>
        <c:axId val="18411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2384"/>
        <c:crosses val="autoZero"/>
        <c:crossBetween val="midCat"/>
      </c:valAx>
      <c:valAx>
        <c:axId val="1841192384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vs. Wedge Th232(n,g)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D-shape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1'!$G$30:$G$42</c:f>
              <c:numCache>
                <c:formatCode>General</c:formatCode>
                <c:ptCount val="13"/>
                <c:pt idx="0" formatCode="0.00E+00">
                  <c:v>3.2364516810043102E-5</c:v>
                </c:pt>
                <c:pt idx="1">
                  <c:v>1.617388801088E-4</c:v>
                </c:pt>
                <c:pt idx="2">
                  <c:v>4.8469625132600001E-4</c:v>
                </c:pt>
                <c:pt idx="3">
                  <c:v>4.7442437671726999E-3</c:v>
                </c:pt>
                <c:pt idx="4">
                  <c:v>9.3381817414101998E-3</c:v>
                </c:pt>
                <c:pt idx="5">
                  <c:v>1.8093633576609602E-2</c:v>
                </c:pt>
                <c:pt idx="6">
                  <c:v>2.63480432958439E-2</c:v>
                </c:pt>
                <c:pt idx="7">
                  <c:v>3.4169678168819703E-2</c:v>
                </c:pt>
                <c:pt idx="8">
                  <c:v>4.1796462699614498E-2</c:v>
                </c:pt>
                <c:pt idx="9">
                  <c:v>6.5796691976300697E-2</c:v>
                </c:pt>
                <c:pt idx="10">
                  <c:v>0.11839645185777101</c:v>
                </c:pt>
                <c:pt idx="11">
                  <c:v>0.165934052581929</c:v>
                </c:pt>
                <c:pt idx="12">
                  <c:v>0.211237572970251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C-4CD7-A4CA-A78C0E62A927}"/>
            </c:ext>
          </c:extLst>
        </c:ser>
        <c:ser>
          <c:idx val="1"/>
          <c:order val="1"/>
          <c:tx>
            <c:v>Wedge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1'!$H$30:$H$42</c:f>
              <c:numCache>
                <c:formatCode>General</c:formatCode>
                <c:ptCount val="13"/>
                <c:pt idx="0" formatCode="0.00E+00">
                  <c:v>2.3511199999999999E-5</c:v>
                </c:pt>
                <c:pt idx="1">
                  <c:v>1.19424E-4</c:v>
                </c:pt>
                <c:pt idx="2">
                  <c:v>3.5842699999999998E-4</c:v>
                </c:pt>
                <c:pt idx="3">
                  <c:v>3.6266200000000001E-3</c:v>
                </c:pt>
                <c:pt idx="4">
                  <c:v>7.1111300000000002E-3</c:v>
                </c:pt>
                <c:pt idx="5">
                  <c:v>1.4057099999999999E-2</c:v>
                </c:pt>
                <c:pt idx="6">
                  <c:v>2.06655E-2</c:v>
                </c:pt>
                <c:pt idx="7">
                  <c:v>2.7493E-2</c:v>
                </c:pt>
                <c:pt idx="8">
                  <c:v>3.3603399999999999E-2</c:v>
                </c:pt>
                <c:pt idx="9">
                  <c:v>5.4200499999999999E-2</c:v>
                </c:pt>
                <c:pt idx="10">
                  <c:v>0.100121</c:v>
                </c:pt>
                <c:pt idx="11">
                  <c:v>0.14074300000000001</c:v>
                </c:pt>
                <c:pt idx="12">
                  <c:v>0.17777100000000001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9C-4CD7-A4CA-A78C0E62A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083904"/>
        <c:axId val="1841084384"/>
      </c:scatterChart>
      <c:valAx>
        <c:axId val="1841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84384"/>
        <c:crosses val="autoZero"/>
        <c:crossBetween val="midCat"/>
      </c:valAx>
      <c:valAx>
        <c:axId val="18410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8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Wedge/D-shape (n,g) Ratio - U</a:t>
            </a:r>
            <a:r>
              <a:rPr lang="en-US" baseline="0"/>
              <a:t> vs. 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Uranium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1'!$E$30:$E$42</c:f>
              <c:numCache>
                <c:formatCode>0.000000</c:formatCode>
                <c:ptCount val="13"/>
                <c:pt idx="0">
                  <c:v>0.60664708230623576</c:v>
                </c:pt>
                <c:pt idx="1">
                  <c:v>0.60988163769499404</c:v>
                </c:pt>
                <c:pt idx="2">
                  <c:v>0.61029455715651293</c:v>
                </c:pt>
                <c:pt idx="3">
                  <c:v>0.63861511357334044</c:v>
                </c:pt>
                <c:pt idx="4">
                  <c:v>0.66538860290064994</c:v>
                </c:pt>
                <c:pt idx="5">
                  <c:v>0.69437286193317926</c:v>
                </c:pt>
                <c:pt idx="6">
                  <c:v>0.7303487224871601</c:v>
                </c:pt>
                <c:pt idx="7">
                  <c:v>0.75449039033495524</c:v>
                </c:pt>
                <c:pt idx="8">
                  <c:v>0.76638425008785249</c:v>
                </c:pt>
                <c:pt idx="9">
                  <c:v>0.82137283592286769</c:v>
                </c:pt>
                <c:pt idx="10">
                  <c:v>0.86290194261690956</c:v>
                </c:pt>
                <c:pt idx="11">
                  <c:v>0.87364962839429117</c:v>
                </c:pt>
                <c:pt idx="12">
                  <c:v>0.87549435816244625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5-48A5-9BE1-0314449E0452}"/>
            </c:ext>
          </c:extLst>
        </c:ser>
        <c:ser>
          <c:idx val="1"/>
          <c:order val="1"/>
          <c:tx>
            <c:v>Thorium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1'!$A$30:$A$42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'Sheet 1'!$I$30:$I$42</c:f>
              <c:numCache>
                <c:formatCode>0.000000</c:formatCode>
                <c:ptCount val="13"/>
                <c:pt idx="0">
                  <c:v>0.7264498999936928</c:v>
                </c:pt>
                <c:pt idx="1">
                  <c:v>0.73837533634253416</c:v>
                </c:pt>
                <c:pt idx="2">
                  <c:v>0.73948787311525321</c:v>
                </c:pt>
                <c:pt idx="3">
                  <c:v>0.76442530737860037</c:v>
                </c:pt>
                <c:pt idx="4">
                  <c:v>0.76151120174344744</c:v>
                </c:pt>
                <c:pt idx="5">
                  <c:v>0.77690862592532006</c:v>
                </c:pt>
                <c:pt idx="6">
                  <c:v>0.78432769249547063</c:v>
                </c:pt>
                <c:pt idx="7">
                  <c:v>0.80460225186105905</c:v>
                </c:pt>
                <c:pt idx="8">
                  <c:v>0.80397712700003043</c:v>
                </c:pt>
                <c:pt idx="9">
                  <c:v>0.82375721897268739</c:v>
                </c:pt>
                <c:pt idx="10">
                  <c:v>0.84564189575777826</c:v>
                </c:pt>
                <c:pt idx="11">
                  <c:v>0.84818635964133371</c:v>
                </c:pt>
                <c:pt idx="12">
                  <c:v>0.8415690329155403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75-48A5-9BE1-0314449E0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069504"/>
        <c:axId val="1841078144"/>
      </c:scatterChart>
      <c:valAx>
        <c:axId val="184106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78144"/>
        <c:crosses val="autoZero"/>
        <c:crossBetween val="midCat"/>
      </c:valAx>
      <c:valAx>
        <c:axId val="1841078144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6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8</xdr:row>
      <xdr:rowOff>7620</xdr:rowOff>
    </xdr:from>
    <xdr:to>
      <xdr:col>17</xdr:col>
      <xdr:colOff>182880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7624A-0F0B-A788-B402-F976A34CA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45720</xdr:colOff>
      <xdr:row>7</xdr:row>
      <xdr:rowOff>175260</xdr:rowOff>
    </xdr:from>
    <xdr:to>
      <xdr:col>24</xdr:col>
      <xdr:colOff>350520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B30FB0-1F48-ED99-4464-03826BCB6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525780</xdr:colOff>
      <xdr:row>7</xdr:row>
      <xdr:rowOff>167640</xdr:rowOff>
    </xdr:from>
    <xdr:to>
      <xdr:col>32</xdr:col>
      <xdr:colOff>220980</xdr:colOff>
      <xdr:row>22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FDF3FA-4583-F9CC-97C4-75FEA0FB1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</xdr:colOff>
      <xdr:row>27</xdr:row>
      <xdr:rowOff>45720</xdr:rowOff>
    </xdr:from>
    <xdr:to>
      <xdr:col>17</xdr:col>
      <xdr:colOff>457200</xdr:colOff>
      <xdr:row>42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2CF738-8EA9-2B84-D28D-A8DCD7FB0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106680</xdr:colOff>
      <xdr:row>27</xdr:row>
      <xdr:rowOff>121920</xdr:rowOff>
    </xdr:from>
    <xdr:to>
      <xdr:col>24</xdr:col>
      <xdr:colOff>411480</xdr:colOff>
      <xdr:row>42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AFFF5E-0283-2211-D32D-9B1908C2B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27</xdr:row>
      <xdr:rowOff>144780</xdr:rowOff>
    </xdr:from>
    <xdr:to>
      <xdr:col>32</xdr:col>
      <xdr:colOff>304800</xdr:colOff>
      <xdr:row>42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286DEE-B79D-0B46-65A8-F894AEA69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N42"/>
  <sheetViews>
    <sheetView tabSelected="1" workbookViewId="0">
      <selection activeCell="J46" sqref="J46"/>
    </sheetView>
  </sheetViews>
  <sheetFormatPr defaultRowHeight="14.4" x14ac:dyDescent="0.3"/>
  <cols>
    <col min="1" max="1" width="12.33203125" customWidth="1"/>
    <col min="2" max="2" width="2.109375" customWidth="1"/>
    <col min="3" max="3" width="12.21875" customWidth="1"/>
    <col min="4" max="4" width="15.88671875" customWidth="1"/>
    <col min="5" max="5" width="15.6640625" customWidth="1"/>
    <col min="6" max="6" width="2.77734375" customWidth="1"/>
    <col min="7" max="8" width="13.33203125" customWidth="1"/>
    <col min="9" max="9" width="14.21875" customWidth="1"/>
  </cols>
  <sheetData>
    <row r="1" spans="1:14" x14ac:dyDescent="0.3">
      <c r="G1" s="1"/>
      <c r="H1" s="1"/>
    </row>
    <row r="2" spans="1:14" x14ac:dyDescent="0.3">
      <c r="G2" s="1"/>
      <c r="H2" s="1"/>
      <c r="J2" s="1"/>
      <c r="K2" s="1"/>
      <c r="M2" s="1"/>
      <c r="N2" s="1"/>
    </row>
    <row r="3" spans="1:14" x14ac:dyDescent="0.3">
      <c r="N3" s="2"/>
    </row>
    <row r="7" spans="1:14" x14ac:dyDescent="0.3">
      <c r="B7" s="2"/>
      <c r="D7" s="2"/>
      <c r="E7" s="7"/>
    </row>
    <row r="8" spans="1:14" x14ac:dyDescent="0.3">
      <c r="C8" s="11" t="s">
        <v>2</v>
      </c>
      <c r="G8" s="2"/>
      <c r="H8" s="2"/>
    </row>
    <row r="9" spans="1:14" x14ac:dyDescent="0.3">
      <c r="C9" s="3" t="s">
        <v>6</v>
      </c>
      <c r="D9" s="10"/>
      <c r="E9" s="3"/>
      <c r="G9" s="3" t="s">
        <v>5</v>
      </c>
      <c r="H9" s="10"/>
      <c r="I9" s="3"/>
    </row>
    <row r="10" spans="1:14" x14ac:dyDescent="0.3">
      <c r="A10" s="6" t="s">
        <v>0</v>
      </c>
      <c r="B10" s="6"/>
      <c r="C10" s="6" t="s">
        <v>1</v>
      </c>
      <c r="D10" s="6" t="s">
        <v>3</v>
      </c>
      <c r="E10" s="8" t="s">
        <v>4</v>
      </c>
      <c r="F10" s="9"/>
      <c r="G10" s="6" t="s">
        <v>1</v>
      </c>
      <c r="H10" s="6" t="s">
        <v>3</v>
      </c>
      <c r="I10" s="8" t="s">
        <v>4</v>
      </c>
      <c r="J10" t="s">
        <v>8</v>
      </c>
    </row>
    <row r="11" spans="1:14" x14ac:dyDescent="0.3">
      <c r="A11">
        <v>0.1</v>
      </c>
      <c r="B11" s="5"/>
      <c r="C11">
        <v>1.40420707746021</v>
      </c>
      <c r="D11">
        <f>1.36234+0.0168074</f>
        <v>1.3791474000000001</v>
      </c>
      <c r="E11" s="12">
        <f t="shared" ref="E11:E23" si="0">D11/C11</f>
        <v>0.98215385902659358</v>
      </c>
      <c r="F11" s="4"/>
      <c r="G11">
        <v>1.4043892076542099</v>
      </c>
      <c r="H11">
        <f>1.36249+0.0168087</f>
        <v>1.3792986999999999</v>
      </c>
      <c r="I11" s="12">
        <f t="shared" ref="I11:I23" si="1">H11/G11</f>
        <v>0.9821342206865008</v>
      </c>
      <c r="J11">
        <f>1/I11</f>
        <v>1.0181907716248917</v>
      </c>
    </row>
    <row r="12" spans="1:14" s="4" customFormat="1" x14ac:dyDescent="0.3">
      <c r="A12" s="4">
        <v>0.5</v>
      </c>
      <c r="B12" s="5"/>
      <c r="C12" s="4">
        <v>1.4042408208581401</v>
      </c>
      <c r="D12" s="4">
        <f>1.36221+0.0168081</f>
        <v>1.3790180999999999</v>
      </c>
      <c r="E12" s="13">
        <f t="shared" si="0"/>
        <v>0.98203818000196974</v>
      </c>
      <c r="G12">
        <v>1.40439738055425</v>
      </c>
      <c r="H12" s="4">
        <f>1.36217 +0.0168081</f>
        <v>1.3789781000000001</v>
      </c>
      <c r="I12" s="13">
        <f t="shared" si="1"/>
        <v>0.9819002221833979</v>
      </c>
      <c r="J12">
        <f t="shared" ref="J12:J22" si="2">1/I12</f>
        <v>1.0184334185976194</v>
      </c>
    </row>
    <row r="13" spans="1:14" x14ac:dyDescent="0.3">
      <c r="A13">
        <v>1.5</v>
      </c>
      <c r="B13" s="5"/>
      <c r="C13">
        <v>1.4037049162311801</v>
      </c>
      <c r="D13">
        <f>1.3621+ 0.0168032</f>
        <v>1.3789032000000001</v>
      </c>
      <c r="E13" s="12">
        <f t="shared" si="0"/>
        <v>0.98233124644332637</v>
      </c>
      <c r="F13" s="4"/>
      <c r="G13">
        <v>1.4041504591101699</v>
      </c>
      <c r="H13">
        <f xml:space="preserve"> 1.36198+0.0168031</f>
        <v>1.3787830999999999</v>
      </c>
      <c r="I13" s="12">
        <f t="shared" si="1"/>
        <v>0.98193401643991507</v>
      </c>
      <c r="J13">
        <f t="shared" si="2"/>
        <v>1.0183983681771049</v>
      </c>
    </row>
    <row r="14" spans="1:14" s="4" customFormat="1" x14ac:dyDescent="0.3">
      <c r="A14" s="4">
        <v>15</v>
      </c>
      <c r="B14" s="5"/>
      <c r="C14" s="4">
        <v>1.3978225806626601</v>
      </c>
      <c r="D14" s="4">
        <f>1.35891+ 0.016749</f>
        <v>1.375659</v>
      </c>
      <c r="E14" s="13">
        <f t="shared" si="0"/>
        <v>0.98414421045326572</v>
      </c>
      <c r="G14">
        <v>1.3977474767840601</v>
      </c>
      <c r="H14" s="4">
        <f>1.35723 +0.0167494</f>
        <v>1.3739793999999999</v>
      </c>
      <c r="I14" s="13">
        <f t="shared" si="1"/>
        <v>0.98299544289734953</v>
      </c>
      <c r="J14">
        <f t="shared" si="2"/>
        <v>1.0172987140739229</v>
      </c>
    </row>
    <row r="15" spans="1:14" x14ac:dyDescent="0.3">
      <c r="A15">
        <v>30</v>
      </c>
      <c r="B15" s="5"/>
      <c r="C15">
        <v>1.3935791421766499</v>
      </c>
      <c r="D15">
        <f>1.35765 + 0.0167095</f>
        <v>1.3743595</v>
      </c>
      <c r="E15" s="12">
        <f t="shared" si="0"/>
        <v>0.98620843151639703</v>
      </c>
      <c r="F15" s="4"/>
      <c r="G15">
        <v>1.3923333952149399</v>
      </c>
      <c r="H15">
        <f>1.35369+0.0167077</f>
        <v>1.3703977000000001</v>
      </c>
      <c r="I15" s="12">
        <f t="shared" si="1"/>
        <v>0.98424537162555559</v>
      </c>
      <c r="J15">
        <f t="shared" si="2"/>
        <v>1.016006809712932</v>
      </c>
    </row>
    <row r="16" spans="1:14" s="4" customFormat="1" x14ac:dyDescent="0.3">
      <c r="A16" s="4">
        <v>60</v>
      </c>
      <c r="B16" s="5"/>
      <c r="C16" s="4">
        <v>1.38536063754419</v>
      </c>
      <c r="D16" s="4">
        <f>1.35209 + 0.0165954</f>
        <v>1.3686853999999999</v>
      </c>
      <c r="E16" s="13">
        <f t="shared" si="0"/>
        <v>0.9879632515229031</v>
      </c>
      <c r="G16">
        <v>1.3811147115786999</v>
      </c>
      <c r="H16" s="4">
        <f xml:space="preserve"> 1.34701 +  0.0165972</f>
        <v>1.3636072000000001</v>
      </c>
      <c r="I16" s="13">
        <f t="shared" si="1"/>
        <v>0.9873236368913284</v>
      </c>
      <c r="J16">
        <f t="shared" si="2"/>
        <v>1.0128391164102828</v>
      </c>
    </row>
    <row r="17" spans="1:10" x14ac:dyDescent="0.3">
      <c r="A17">
        <v>90</v>
      </c>
      <c r="B17" s="5"/>
      <c r="C17">
        <v>1.37856347972413</v>
      </c>
      <c r="D17">
        <f>1.34678 +0.0164828</f>
        <v>1.3632628</v>
      </c>
      <c r="E17" s="12">
        <f t="shared" si="0"/>
        <v>0.98890099734312431</v>
      </c>
      <c r="F17" s="4"/>
      <c r="G17">
        <v>1.3698685473168299</v>
      </c>
      <c r="H17">
        <f>1.33852+ 0.0164785</f>
        <v>1.3549985</v>
      </c>
      <c r="I17" s="12">
        <f t="shared" si="1"/>
        <v>0.98914490930830112</v>
      </c>
      <c r="J17">
        <f t="shared" si="2"/>
        <v>1.0109742168104467</v>
      </c>
    </row>
    <row r="18" spans="1:10" s="4" customFormat="1" x14ac:dyDescent="0.3">
      <c r="A18" s="4">
        <v>120</v>
      </c>
      <c r="B18" s="5"/>
      <c r="C18" s="4">
        <v>1.3699400435562701</v>
      </c>
      <c r="D18" s="4">
        <f>1.34139 + 0.016384</f>
        <v>1.357774</v>
      </c>
      <c r="E18" s="13">
        <f t="shared" si="0"/>
        <v>0.99111928758233259</v>
      </c>
      <c r="G18">
        <v>1.35986137171571</v>
      </c>
      <c r="H18" s="4">
        <f xml:space="preserve"> 1.33039+ 0.0163766</f>
        <v>1.3467666</v>
      </c>
      <c r="I18" s="13">
        <f t="shared" si="1"/>
        <v>0.99037050982690356</v>
      </c>
      <c r="J18">
        <f t="shared" si="2"/>
        <v>1.0097231188505194</v>
      </c>
    </row>
    <row r="19" spans="1:10" x14ac:dyDescent="0.3">
      <c r="A19">
        <v>150</v>
      </c>
      <c r="B19" s="5"/>
      <c r="C19">
        <v>1.3618779251700099</v>
      </c>
      <c r="D19">
        <f xml:space="preserve"> 1.33482 + 0.0162948</f>
        <v>1.3511147999999999</v>
      </c>
      <c r="E19" s="12">
        <f t="shared" si="0"/>
        <v>0.9920968502601536</v>
      </c>
      <c r="F19" s="4"/>
      <c r="G19">
        <v>1.34863286309854</v>
      </c>
      <c r="H19">
        <f xml:space="preserve"> 1.32211 +  0.0162819</f>
        <v>1.3383919</v>
      </c>
      <c r="I19" s="12">
        <f t="shared" si="1"/>
        <v>0.99240641142689423</v>
      </c>
      <c r="J19">
        <f t="shared" si="2"/>
        <v>1.0076516923769039</v>
      </c>
    </row>
    <row r="20" spans="1:10" s="4" customFormat="1" x14ac:dyDescent="0.3">
      <c r="A20" s="4">
        <v>250</v>
      </c>
      <c r="B20" s="5"/>
      <c r="C20" s="4">
        <v>1.34128105403747</v>
      </c>
      <c r="D20" s="4">
        <f>1.32048+0.0159525</f>
        <v>1.3364325000000001</v>
      </c>
      <c r="E20" s="13">
        <f t="shared" si="0"/>
        <v>0.99638513194317113</v>
      </c>
      <c r="G20">
        <v>1.31869938927708</v>
      </c>
      <c r="H20" s="4">
        <f xml:space="preserve"> 1.29819 +0.0159423</f>
        <v>1.3141323</v>
      </c>
      <c r="I20" s="13">
        <f t="shared" si="1"/>
        <v>0.9965366714247258</v>
      </c>
      <c r="J20">
        <f t="shared" si="2"/>
        <v>1.0034753649058621</v>
      </c>
    </row>
    <row r="21" spans="1:10" x14ac:dyDescent="0.3">
      <c r="A21">
        <v>500</v>
      </c>
      <c r="B21" s="5"/>
      <c r="C21">
        <v>1.2896852557910301</v>
      </c>
      <c r="D21">
        <f>1.28524+ 0.0151806</f>
        <v>1.3004206</v>
      </c>
      <c r="E21" s="12">
        <f t="shared" si="0"/>
        <v>1.0083240032099037</v>
      </c>
      <c r="F21" s="4"/>
      <c r="G21">
        <v>1.24433347413396</v>
      </c>
      <c r="H21">
        <f xml:space="preserve"> 1.2464 +0.0151558</f>
        <v>1.2615558</v>
      </c>
      <c r="I21" s="12">
        <f t="shared" si="1"/>
        <v>1.0138406032016671</v>
      </c>
      <c r="J21">
        <f t="shared" si="2"/>
        <v>0.98634834395272875</v>
      </c>
    </row>
    <row r="22" spans="1:10" s="4" customFormat="1" x14ac:dyDescent="0.3">
      <c r="A22" s="4">
        <v>750</v>
      </c>
      <c r="B22" s="5"/>
      <c r="C22" s="4">
        <v>1.24225887840578</v>
      </c>
      <c r="D22" s="4">
        <f xml:space="preserve"> 1.25348 + 0.0144156</f>
        <v>1.2678955999999999</v>
      </c>
      <c r="E22" s="13">
        <f t="shared" si="0"/>
        <v>1.0206371812187167</v>
      </c>
      <c r="G22">
        <v>1.1765306054398399</v>
      </c>
      <c r="H22" s="4">
        <f>1.19574+0.0143624</f>
        <v>1.2101024</v>
      </c>
      <c r="I22" s="13">
        <f t="shared" si="1"/>
        <v>1.0285345696957959</v>
      </c>
      <c r="J22">
        <f t="shared" si="2"/>
        <v>0.97225706307155491</v>
      </c>
    </row>
    <row r="23" spans="1:10" x14ac:dyDescent="0.3">
      <c r="A23">
        <v>1000</v>
      </c>
      <c r="B23" s="5"/>
      <c r="C23">
        <v>1.1938794039418501</v>
      </c>
      <c r="D23">
        <f xml:space="preserve"> 1.22694+ 0.0136957</f>
        <v>1.2406356999999999</v>
      </c>
      <c r="E23" s="12">
        <f t="shared" si="0"/>
        <v>1.0391633324972136</v>
      </c>
      <c r="F23" s="4"/>
      <c r="G23">
        <v>1.1108715265371401</v>
      </c>
      <c r="H23">
        <f>1.1507+0.013642</f>
        <v>1.164342</v>
      </c>
      <c r="I23" s="12">
        <f t="shared" si="1"/>
        <v>1.0481338050220268</v>
      </c>
      <c r="J23">
        <f>1/I23</f>
        <v>0.95407666006821024</v>
      </c>
    </row>
    <row r="27" spans="1:10" x14ac:dyDescent="0.3">
      <c r="C27" s="11" t="s">
        <v>7</v>
      </c>
      <c r="G27" s="2"/>
      <c r="H27" s="2"/>
    </row>
    <row r="28" spans="1:10" x14ac:dyDescent="0.3">
      <c r="C28" s="3" t="s">
        <v>6</v>
      </c>
      <c r="D28" s="10"/>
      <c r="E28" s="3"/>
      <c r="G28" s="3" t="s">
        <v>5</v>
      </c>
      <c r="H28" s="10"/>
      <c r="I28" s="3"/>
    </row>
    <row r="29" spans="1:10" x14ac:dyDescent="0.3">
      <c r="A29" s="6" t="s">
        <v>0</v>
      </c>
      <c r="B29" s="6"/>
      <c r="C29" s="6" t="s">
        <v>1</v>
      </c>
      <c r="D29" s="6" t="s">
        <v>3</v>
      </c>
      <c r="E29" s="8" t="s">
        <v>4</v>
      </c>
      <c r="F29" s="9"/>
      <c r="G29" s="6" t="s">
        <v>1</v>
      </c>
      <c r="H29" s="6" t="s">
        <v>3</v>
      </c>
      <c r="I29" s="8" t="s">
        <v>4</v>
      </c>
      <c r="J29" t="s">
        <v>8</v>
      </c>
    </row>
    <row r="30" spans="1:10" x14ac:dyDescent="0.3">
      <c r="A30">
        <v>0.1</v>
      </c>
      <c r="B30" s="5"/>
      <c r="C30" s="2">
        <v>3.52725672373683E-5</v>
      </c>
      <c r="D30" s="2">
        <v>2.1398000000000001E-5</v>
      </c>
      <c r="E30" s="12">
        <f t="shared" ref="E30:E42" si="3">D30/C30</f>
        <v>0.60664708230623576</v>
      </c>
      <c r="F30" s="4"/>
      <c r="G30" s="2">
        <v>3.2364516810043102E-5</v>
      </c>
      <c r="H30" s="2">
        <v>2.3511199999999999E-5</v>
      </c>
      <c r="I30" s="12">
        <f t="shared" ref="I30:I42" si="4">H30/G30</f>
        <v>0.7264498999936928</v>
      </c>
      <c r="J30">
        <f>1/I30</f>
        <v>1.3765574198698109</v>
      </c>
    </row>
    <row r="31" spans="1:10" x14ac:dyDescent="0.3">
      <c r="A31" s="4">
        <v>0.5</v>
      </c>
      <c r="B31" s="5"/>
      <c r="C31" s="5">
        <v>1.76088265923015E-4</v>
      </c>
      <c r="D31" s="5">
        <v>1.0739300000000001E-4</v>
      </c>
      <c r="E31" s="13">
        <f t="shared" si="3"/>
        <v>0.60988163769499404</v>
      </c>
      <c r="F31" s="4"/>
      <c r="G31">
        <v>1.617388801088E-4</v>
      </c>
      <c r="H31" s="4">
        <v>1.19424E-4</v>
      </c>
      <c r="I31" s="13">
        <f t="shared" si="4"/>
        <v>0.73837533634253416</v>
      </c>
      <c r="J31">
        <f t="shared" ref="J31:J41" si="5">1/I31</f>
        <v>1.3543247597534833</v>
      </c>
    </row>
    <row r="32" spans="1:10" x14ac:dyDescent="0.3">
      <c r="A32">
        <v>1.5</v>
      </c>
      <c r="B32" s="5"/>
      <c r="C32" s="2">
        <v>5.2684723504348998E-4</v>
      </c>
      <c r="D32" s="2">
        <v>3.2153200000000002E-4</v>
      </c>
      <c r="E32" s="12">
        <f t="shared" si="3"/>
        <v>0.61029455715651293</v>
      </c>
      <c r="F32" s="4"/>
      <c r="G32">
        <v>4.8469625132600001E-4</v>
      </c>
      <c r="H32">
        <v>3.5842699999999998E-4</v>
      </c>
      <c r="I32" s="12">
        <f t="shared" si="4"/>
        <v>0.73948787311525321</v>
      </c>
      <c r="J32">
        <f t="shared" si="5"/>
        <v>1.3522872197853399</v>
      </c>
    </row>
    <row r="33" spans="1:10" x14ac:dyDescent="0.3">
      <c r="A33" s="4">
        <v>15</v>
      </c>
      <c r="B33" s="5"/>
      <c r="C33" s="5">
        <v>5.02535867346246E-3</v>
      </c>
      <c r="D33" s="5">
        <v>3.2092700000000002E-3</v>
      </c>
      <c r="E33" s="13">
        <f t="shared" si="3"/>
        <v>0.63861511357334044</v>
      </c>
      <c r="F33" s="4"/>
      <c r="G33">
        <v>4.7442437671726999E-3</v>
      </c>
      <c r="H33" s="4">
        <v>3.6266200000000001E-3</v>
      </c>
      <c r="I33" s="13">
        <f t="shared" si="4"/>
        <v>0.76442530737860037</v>
      </c>
      <c r="J33">
        <f t="shared" si="5"/>
        <v>1.3081722836064158</v>
      </c>
    </row>
    <row r="34" spans="1:10" x14ac:dyDescent="0.3">
      <c r="A34">
        <v>30</v>
      </c>
      <c r="B34" s="5"/>
      <c r="C34" s="2">
        <v>9.6096776712520909E-3</v>
      </c>
      <c r="D34" s="2">
        <v>6.3941700000000002E-3</v>
      </c>
      <c r="E34" s="12">
        <f t="shared" si="3"/>
        <v>0.66538860290064994</v>
      </c>
      <c r="F34" s="4"/>
      <c r="G34">
        <v>9.3381817414101998E-3</v>
      </c>
      <c r="H34">
        <v>7.1111300000000002E-3</v>
      </c>
      <c r="I34" s="12">
        <f t="shared" si="4"/>
        <v>0.76151120174344744</v>
      </c>
      <c r="J34">
        <f t="shared" si="5"/>
        <v>1.3131783192558988</v>
      </c>
    </row>
    <row r="35" spans="1:10" x14ac:dyDescent="0.3">
      <c r="A35" s="4">
        <v>60</v>
      </c>
      <c r="B35" s="5"/>
      <c r="C35" s="5">
        <v>1.7956202904139199E-2</v>
      </c>
      <c r="D35" s="5">
        <v>1.24683E-2</v>
      </c>
      <c r="E35" s="13">
        <f t="shared" si="3"/>
        <v>0.69437286193317926</v>
      </c>
      <c r="F35" s="4"/>
      <c r="G35">
        <v>1.8093633576609602E-2</v>
      </c>
      <c r="H35" s="4">
        <v>1.4057099999999999E-2</v>
      </c>
      <c r="I35" s="13">
        <f t="shared" si="4"/>
        <v>0.77690862592532006</v>
      </c>
      <c r="J35">
        <f t="shared" si="5"/>
        <v>1.2871526542892633</v>
      </c>
    </row>
    <row r="36" spans="1:10" x14ac:dyDescent="0.3">
      <c r="A36">
        <v>90</v>
      </c>
      <c r="B36" s="5"/>
      <c r="C36" s="2">
        <v>2.54716677488637E-2</v>
      </c>
      <c r="D36" s="2">
        <v>1.86032E-2</v>
      </c>
      <c r="E36" s="12">
        <f t="shared" si="3"/>
        <v>0.7303487224871601</v>
      </c>
      <c r="F36" s="4"/>
      <c r="G36">
        <v>2.63480432958439E-2</v>
      </c>
      <c r="H36">
        <v>2.06655E-2</v>
      </c>
      <c r="I36" s="12">
        <f t="shared" si="4"/>
        <v>0.78432769249547063</v>
      </c>
      <c r="J36">
        <f t="shared" si="5"/>
        <v>1.2749772952913745</v>
      </c>
    </row>
    <row r="37" spans="1:10" x14ac:dyDescent="0.3">
      <c r="A37" s="4">
        <v>120</v>
      </c>
      <c r="B37" s="5"/>
      <c r="C37" s="5">
        <v>3.2417642839879697E-2</v>
      </c>
      <c r="D37" s="5">
        <v>2.4458799999999999E-2</v>
      </c>
      <c r="E37" s="13">
        <f t="shared" si="3"/>
        <v>0.75449039033495524</v>
      </c>
      <c r="F37" s="4"/>
      <c r="G37">
        <v>3.4169678168819703E-2</v>
      </c>
      <c r="H37" s="4">
        <v>2.7493E-2</v>
      </c>
      <c r="I37" s="13">
        <f t="shared" si="4"/>
        <v>0.80460225186105905</v>
      </c>
      <c r="J37">
        <f t="shared" si="5"/>
        <v>1.2428501134405012</v>
      </c>
    </row>
    <row r="38" spans="1:10" x14ac:dyDescent="0.3">
      <c r="A38">
        <v>150</v>
      </c>
      <c r="B38" s="5"/>
      <c r="C38" s="2">
        <v>3.9055212834252402E-2</v>
      </c>
      <c r="D38" s="2">
        <v>2.9931300000000001E-2</v>
      </c>
      <c r="E38" s="12">
        <f t="shared" si="3"/>
        <v>0.76638425008785249</v>
      </c>
      <c r="F38" s="4"/>
      <c r="G38">
        <v>4.1796462699614498E-2</v>
      </c>
      <c r="H38">
        <v>3.3603399999999999E-2</v>
      </c>
      <c r="I38" s="12">
        <f t="shared" si="4"/>
        <v>0.80397712700003043</v>
      </c>
      <c r="J38">
        <f t="shared" si="5"/>
        <v>1.24381647986854</v>
      </c>
    </row>
    <row r="39" spans="1:10" x14ac:dyDescent="0.3">
      <c r="A39" s="4">
        <v>250</v>
      </c>
      <c r="B39" s="5"/>
      <c r="C39" s="5">
        <v>5.8983323870902299E-2</v>
      </c>
      <c r="D39" s="5">
        <v>4.8447299999999999E-2</v>
      </c>
      <c r="E39" s="13">
        <f t="shared" si="3"/>
        <v>0.82137283592286769</v>
      </c>
      <c r="F39" s="4"/>
      <c r="G39">
        <v>6.5796691976300697E-2</v>
      </c>
      <c r="H39" s="4">
        <v>5.4200499999999999E-2</v>
      </c>
      <c r="I39" s="13">
        <f t="shared" si="4"/>
        <v>0.82375721897268739</v>
      </c>
      <c r="J39">
        <f t="shared" si="5"/>
        <v>1.2139499077739264</v>
      </c>
    </row>
    <row r="40" spans="1:10" x14ac:dyDescent="0.3">
      <c r="A40">
        <v>500</v>
      </c>
      <c r="B40" s="5"/>
      <c r="C40" s="2">
        <v>0.103595084893309</v>
      </c>
      <c r="D40" s="2">
        <v>8.9392399999999997E-2</v>
      </c>
      <c r="E40" s="12">
        <f t="shared" si="3"/>
        <v>0.86290194261690956</v>
      </c>
      <c r="F40" s="4"/>
      <c r="G40">
        <v>0.11839645185777101</v>
      </c>
      <c r="H40">
        <v>0.100121</v>
      </c>
      <c r="I40" s="12">
        <f t="shared" si="4"/>
        <v>0.84564189575777826</v>
      </c>
      <c r="J40">
        <f t="shared" si="5"/>
        <v>1.1825336528577521</v>
      </c>
    </row>
    <row r="41" spans="1:10" x14ac:dyDescent="0.3">
      <c r="A41" s="4">
        <v>750</v>
      </c>
      <c r="B41" s="5"/>
      <c r="C41" s="5">
        <v>0.14519436153500101</v>
      </c>
      <c r="D41" s="5">
        <v>0.12684899999999999</v>
      </c>
      <c r="E41" s="13">
        <f t="shared" si="3"/>
        <v>0.87364962839429117</v>
      </c>
      <c r="F41" s="4"/>
      <c r="G41">
        <v>0.165934052581929</v>
      </c>
      <c r="H41" s="4">
        <v>0.14074300000000001</v>
      </c>
      <c r="I41" s="13">
        <f t="shared" si="4"/>
        <v>0.84818635964133371</v>
      </c>
      <c r="J41">
        <f t="shared" si="5"/>
        <v>1.1789861846196896</v>
      </c>
    </row>
    <row r="42" spans="1:10" x14ac:dyDescent="0.3">
      <c r="A42">
        <v>1000</v>
      </c>
      <c r="B42" s="5"/>
      <c r="C42" s="2">
        <v>0.185920101577397</v>
      </c>
      <c r="D42" s="2">
        <v>0.162772</v>
      </c>
      <c r="E42" s="12">
        <f t="shared" si="3"/>
        <v>0.87549435816244625</v>
      </c>
      <c r="F42" s="4"/>
      <c r="G42">
        <v>0.211237572970251</v>
      </c>
      <c r="H42">
        <v>0.17777100000000001</v>
      </c>
      <c r="I42" s="12">
        <f t="shared" si="4"/>
        <v>0.8415690329155403</v>
      </c>
      <c r="J42">
        <f>1/I42</f>
        <v>1.1882566502424523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2026-01-28T18:52:27Z</dcterms:modified>
</cp:coreProperties>
</file>