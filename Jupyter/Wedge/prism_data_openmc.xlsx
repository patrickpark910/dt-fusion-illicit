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MCNP\emma-openmc\Jupyter\Wedge\"/>
    </mc:Choice>
  </mc:AlternateContent>
  <xr:revisionPtr revIDLastSave="0" documentId="13_ncr:1_{84C7B4CC-608C-4954-BD0E-4BE3276E22A1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2" l="1"/>
  <c r="I27" i="2" s="1"/>
  <c r="O5" i="2"/>
  <c r="O6" i="2"/>
  <c r="O7" i="2"/>
  <c r="O8" i="2"/>
  <c r="O9" i="2"/>
  <c r="O10" i="2"/>
  <c r="O11" i="2"/>
  <c r="O12" i="2"/>
  <c r="O13" i="2"/>
  <c r="O14" i="2"/>
  <c r="O15" i="2"/>
  <c r="O16" i="2"/>
  <c r="O4" i="2"/>
  <c r="N5" i="2"/>
  <c r="N6" i="2"/>
  <c r="N7" i="2"/>
  <c r="N8" i="2"/>
  <c r="N9" i="2"/>
  <c r="N10" i="2"/>
  <c r="N11" i="2"/>
  <c r="N12" i="2"/>
  <c r="N13" i="2"/>
  <c r="N14" i="2"/>
  <c r="N15" i="2"/>
  <c r="N16" i="2"/>
  <c r="N4" i="2"/>
  <c r="M5" i="2"/>
  <c r="M6" i="2"/>
  <c r="M7" i="2"/>
  <c r="M8" i="2"/>
  <c r="M9" i="2"/>
  <c r="M10" i="2"/>
  <c r="M11" i="2"/>
  <c r="M12" i="2"/>
  <c r="M13" i="2"/>
  <c r="M14" i="2"/>
  <c r="M15" i="2"/>
  <c r="M16" i="2"/>
  <c r="M4" i="2"/>
  <c r="B5" i="2" l="1"/>
  <c r="B11" i="2" l="1"/>
  <c r="B13" i="2"/>
  <c r="B15" i="2"/>
  <c r="B14" i="2"/>
  <c r="B16" i="2"/>
  <c r="B12" i="2"/>
  <c r="B8" i="2"/>
  <c r="B6" i="2"/>
  <c r="B10" i="2"/>
  <c r="B7" i="2"/>
  <c r="B4" i="2"/>
  <c r="B9" i="2"/>
</calcChain>
</file>

<file path=xl/sharedStrings.xml><?xml version="1.0" encoding="utf-8"?>
<sst xmlns="http://schemas.openxmlformats.org/spreadsheetml/2006/main" count="20" uniqueCount="20">
  <si>
    <t>Fertile kg/m3</t>
  </si>
  <si>
    <t>BISO/cm3</t>
  </si>
  <si>
    <t>A</t>
  </si>
  <si>
    <t>B</t>
  </si>
  <si>
    <t>C</t>
  </si>
  <si>
    <t>RESULTS</t>
  </si>
  <si>
    <t>Value</t>
  </si>
  <si>
    <t>Name</t>
  </si>
  <si>
    <t>V_uo2</t>
  </si>
  <si>
    <t>b1 [cm]</t>
  </si>
  <si>
    <t>b2 [cm]</t>
  </si>
  <si>
    <t>VARIABLES</t>
  </si>
  <si>
    <t>Factor change</t>
  </si>
  <si>
    <t>Rate [rxns/src-n]</t>
  </si>
  <si>
    <t>D</t>
  </si>
  <si>
    <t>BV vol%</t>
  </si>
  <si>
    <t>=A/D</t>
  </si>
  <si>
    <t>=B/D</t>
  </si>
  <si>
    <t>=C/D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</si>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</sst>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E+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3" borderId="0" xfId="0" applyFill="1"/>
    <xf numFmtId="0" fontId="0" fillId="4" borderId="0" xfId="0" applyFill="1"/>
    <xf numFmtId="11" fontId="0" fillId="4" borderId="0" xfId="0" applyNumberFormat="1" applyFill="1"/>
    <xf numFmtId="2" fontId="0" fillId="4" borderId="0" xfId="0" applyNumberFormat="1" applyFill="1"/>
    <xf numFmtId="0" fontId="1" fillId="2" borderId="0" xfId="0" applyFont="1" applyFill="1"/>
    <xf numFmtId="164" fontId="0" fillId="4" borderId="0" xfId="0" applyNumberFormat="1" applyFill="1"/>
    <xf numFmtId="165" fontId="0" fillId="4" borderId="0" xfId="0" applyNumberForma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0" fillId="5" borderId="0" xfId="0" applyFill="1"/>
    <xf numFmtId="0" fontId="0" fillId="0" borderId="0" xfId="0" applyFill="1"/>
    <xf numFmtId="0" fontId="1" fillId="2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FC2A7-2007-48F8-8A3D-08B47124466B}">
  <dimension ref="A1:O36"/>
  <sheetViews>
    <sheetView tabSelected="1" zoomScale="130" zoomScaleNormal="130" workbookViewId="0">
      <selection activeCell="N22" sqref="N22"/>
    </sheetView>
  </sheetViews>
  <sheetFormatPr defaultRowHeight="14.4" x14ac:dyDescent="0.3"/>
  <cols>
    <col min="1" max="1" width="12.33203125" customWidth="1"/>
    <col min="2" max="3" width="8.88671875" customWidth="1"/>
    <col min="4" max="4" width="1.88671875" customWidth="1"/>
    <col min="5" max="6" width="8" customWidth="1"/>
    <col min="7" max="7" width="2.109375" customWidth="1"/>
    <col min="8" max="8" width="10.88671875" customWidth="1"/>
    <col min="9" max="11" width="10.44140625" customWidth="1"/>
    <col min="12" max="12" width="1.77734375" customWidth="1"/>
    <col min="13" max="13" width="8.6640625" customWidth="1"/>
    <col min="14" max="14" width="9.44140625" customWidth="1"/>
    <col min="15" max="15" width="8.33203125" customWidth="1"/>
    <col min="16" max="16" width="2.77734375" customWidth="1"/>
  </cols>
  <sheetData>
    <row r="1" spans="1:15" x14ac:dyDescent="0.3">
      <c r="H1" s="1" t="s">
        <v>5</v>
      </c>
    </row>
    <row r="2" spans="1:15" x14ac:dyDescent="0.3">
      <c r="H2" s="3" t="s">
        <v>13</v>
      </c>
      <c r="I2" s="3"/>
      <c r="J2" s="3"/>
      <c r="K2" s="3"/>
      <c r="L2" s="15"/>
      <c r="M2" s="14" t="s">
        <v>12</v>
      </c>
      <c r="N2" s="14"/>
      <c r="O2" s="14"/>
    </row>
    <row r="3" spans="1:15" s="7" customFormat="1" x14ac:dyDescent="0.3">
      <c r="A3" s="7" t="s">
        <v>0</v>
      </c>
      <c r="B3" s="7" t="s">
        <v>1</v>
      </c>
      <c r="C3" s="7" t="s">
        <v>15</v>
      </c>
      <c r="E3" s="7" t="s">
        <v>9</v>
      </c>
      <c r="F3" s="7" t="s">
        <v>10</v>
      </c>
      <c r="H3" s="7" t="s">
        <v>14</v>
      </c>
      <c r="I3" s="7" t="s">
        <v>2</v>
      </c>
      <c r="J3" s="7" t="s">
        <v>3</v>
      </c>
      <c r="K3" s="7" t="s">
        <v>4</v>
      </c>
      <c r="M3" s="16" t="s">
        <v>16</v>
      </c>
      <c r="N3" s="16" t="s">
        <v>17</v>
      </c>
      <c r="O3" s="16" t="s">
        <v>18</v>
      </c>
    </row>
    <row r="4" spans="1:15" x14ac:dyDescent="0.3">
      <c r="A4">
        <v>0.1</v>
      </c>
      <c r="B4" s="10">
        <f>A4*$I$27</f>
        <v>4.0296735505064935E-2</v>
      </c>
      <c r="C4" s="10">
        <v>2.1099999999999999E-3</v>
      </c>
      <c r="E4" s="13">
        <v>23.784832000000002</v>
      </c>
      <c r="F4" s="13">
        <v>29.746282999999998</v>
      </c>
      <c r="G4" s="2"/>
      <c r="H4" s="2">
        <v>3.52725672373683E-5</v>
      </c>
      <c r="I4" s="2">
        <v>3.5162900000000002E-5</v>
      </c>
      <c r="J4" s="2">
        <v>6.2188300000000001E-6</v>
      </c>
      <c r="K4" s="2"/>
      <c r="L4" s="2"/>
      <c r="M4" s="11">
        <f>I4/H4</f>
        <v>0.99689086318468723</v>
      </c>
      <c r="N4" s="11">
        <f>J4/H4</f>
        <v>0.17630783600609815</v>
      </c>
      <c r="O4" s="13">
        <f>K4/H4</f>
        <v>0</v>
      </c>
    </row>
    <row r="5" spans="1:15" s="4" customFormat="1" x14ac:dyDescent="0.3">
      <c r="A5" s="4">
        <v>0.5</v>
      </c>
      <c r="B5" s="8">
        <f>A5*$I$27</f>
        <v>0.20148367752532464</v>
      </c>
      <c r="C5" s="8">
        <v>1.055E-2</v>
      </c>
      <c r="E5" s="6">
        <v>10.636900000000001</v>
      </c>
      <c r="F5" s="6">
        <v>13.302942</v>
      </c>
      <c r="G5" s="5"/>
      <c r="H5" s="5">
        <v>1.76088265923015E-4</v>
      </c>
      <c r="I5" s="5">
        <v>1.7669699999999999E-4</v>
      </c>
      <c r="J5" s="5">
        <v>3.4790399999999998E-5</v>
      </c>
      <c r="K5" s="5"/>
      <c r="L5" s="5"/>
      <c r="M5" s="9">
        <f t="shared" ref="M5:M16" si="0">I5/H5</f>
        <v>1.0034569826319439</v>
      </c>
      <c r="N5" s="9">
        <f t="shared" ref="N5:N16" si="1">J5/H5</f>
        <v>0.19757364193256469</v>
      </c>
      <c r="O5" s="6">
        <f t="shared" ref="O5:O16" si="2">K5/H5</f>
        <v>0</v>
      </c>
    </row>
    <row r="6" spans="1:15" x14ac:dyDescent="0.3">
      <c r="A6">
        <v>1.5</v>
      </c>
      <c r="B6" s="10">
        <f>A6*$I$27</f>
        <v>0.60445103257597399</v>
      </c>
      <c r="C6" s="10">
        <v>3.1649999999999998E-2</v>
      </c>
      <c r="E6" s="13">
        <v>6.1412170000000001</v>
      </c>
      <c r="F6" s="13">
        <v>7.6804569999999996</v>
      </c>
      <c r="G6" s="2"/>
      <c r="H6" s="2">
        <v>5.2684723504348998E-4</v>
      </c>
      <c r="I6" s="2">
        <v>5.2894699999999999E-4</v>
      </c>
      <c r="J6" s="2">
        <v>1.07774E-4</v>
      </c>
      <c r="K6" s="2"/>
      <c r="L6" s="2"/>
      <c r="M6" s="11">
        <f t="shared" si="0"/>
        <v>1.0039855290430377</v>
      </c>
      <c r="N6" s="11">
        <f t="shared" si="1"/>
        <v>0.20456404215750229</v>
      </c>
      <c r="O6" s="13">
        <f t="shared" si="2"/>
        <v>0</v>
      </c>
    </row>
    <row r="7" spans="1:15" s="4" customFormat="1" x14ac:dyDescent="0.3">
      <c r="A7" s="4">
        <v>15</v>
      </c>
      <c r="B7" s="8">
        <f>A7*$I$27</f>
        <v>6.044510325759739</v>
      </c>
      <c r="C7" s="8">
        <v>0.31649699999999997</v>
      </c>
      <c r="E7" s="6">
        <v>1.9420230000000001</v>
      </c>
      <c r="F7" s="6">
        <v>2.4287740000000002</v>
      </c>
      <c r="G7" s="5"/>
      <c r="H7" s="5">
        <v>5.02535867346246E-3</v>
      </c>
      <c r="I7" s="5">
        <v>5.0301599999999997E-3</v>
      </c>
      <c r="J7" s="5">
        <v>9.837540000000001E-4</v>
      </c>
      <c r="K7" s="5"/>
      <c r="L7" s="5"/>
      <c r="M7" s="9">
        <f t="shared" si="0"/>
        <v>1.0009554196724095</v>
      </c>
      <c r="N7" s="9">
        <f t="shared" si="1"/>
        <v>0.1957579675247729</v>
      </c>
      <c r="O7" s="6">
        <f t="shared" si="2"/>
        <v>0</v>
      </c>
    </row>
    <row r="8" spans="1:15" x14ac:dyDescent="0.3">
      <c r="A8">
        <v>30</v>
      </c>
      <c r="B8" s="10">
        <f>A8*$I$27</f>
        <v>12.089020651519478</v>
      </c>
      <c r="C8" s="10">
        <v>0.63299399999999995</v>
      </c>
      <c r="E8" s="13">
        <v>1.373218</v>
      </c>
      <c r="F8" s="13">
        <v>1.7174020000000001</v>
      </c>
      <c r="G8" s="2"/>
      <c r="H8" s="2">
        <v>9.6096776712520909E-3</v>
      </c>
      <c r="I8" s="2">
        <v>9.5466400000000003E-3</v>
      </c>
      <c r="J8" s="2">
        <v>1.9574700000000002E-3</v>
      </c>
      <c r="K8" s="2"/>
      <c r="L8" s="2"/>
      <c r="M8" s="11">
        <f t="shared" si="0"/>
        <v>0.99344018879627238</v>
      </c>
      <c r="N8" s="11">
        <f t="shared" si="1"/>
        <v>0.20369777915193613</v>
      </c>
      <c r="O8" s="13">
        <f t="shared" si="2"/>
        <v>0</v>
      </c>
    </row>
    <row r="9" spans="1:15" s="4" customFormat="1" x14ac:dyDescent="0.3">
      <c r="A9" s="4">
        <v>60</v>
      </c>
      <c r="B9" s="8">
        <f>A9*$I$27</f>
        <v>24.178041303038956</v>
      </c>
      <c r="C9" s="8">
        <v>1.265987</v>
      </c>
      <c r="E9" s="6">
        <v>0.97101199999999999</v>
      </c>
      <c r="F9" s="6">
        <v>1.2143870000000001</v>
      </c>
      <c r="G9" s="5"/>
      <c r="H9" s="5">
        <v>1.7956202904139199E-2</v>
      </c>
      <c r="I9" s="5">
        <v>1.7839399999999998E-2</v>
      </c>
      <c r="J9" s="5">
        <v>3.77656E-3</v>
      </c>
      <c r="K9" s="5"/>
      <c r="L9" s="5"/>
      <c r="M9" s="9">
        <f t="shared" si="0"/>
        <v>0.99349512228377224</v>
      </c>
      <c r="N9" s="9">
        <f t="shared" si="1"/>
        <v>0.21032063516777488</v>
      </c>
      <c r="O9" s="6">
        <f t="shared" si="2"/>
        <v>0</v>
      </c>
    </row>
    <row r="10" spans="1:15" x14ac:dyDescent="0.3">
      <c r="A10">
        <v>90</v>
      </c>
      <c r="B10" s="10">
        <f>A10*$I$27</f>
        <v>36.267061954558436</v>
      </c>
      <c r="C10" s="10">
        <v>1.898981</v>
      </c>
      <c r="E10" s="13">
        <v>0.79282799999999998</v>
      </c>
      <c r="F10" s="13">
        <v>0.99154299999999995</v>
      </c>
      <c r="G10" s="2"/>
      <c r="H10" s="2">
        <v>2.54716677488637E-2</v>
      </c>
      <c r="I10" s="2">
        <v>2.5426299999999999E-2</v>
      </c>
      <c r="J10" s="2">
        <v>5.35463E-3</v>
      </c>
      <c r="K10" s="2"/>
      <c r="L10" s="2"/>
      <c r="M10" s="11">
        <f t="shared" si="0"/>
        <v>0.99821889366212679</v>
      </c>
      <c r="N10" s="11">
        <f t="shared" si="1"/>
        <v>0.21021905800568838</v>
      </c>
      <c r="O10" s="13">
        <f t="shared" si="2"/>
        <v>0</v>
      </c>
    </row>
    <row r="11" spans="1:15" s="4" customFormat="1" x14ac:dyDescent="0.3">
      <c r="A11" s="4">
        <v>120</v>
      </c>
      <c r="B11" s="8">
        <f>A11*$I$27</f>
        <v>48.356082606077912</v>
      </c>
      <c r="C11" s="8">
        <v>2.5319750000000001</v>
      </c>
      <c r="E11" s="6">
        <v>0.68660900000000002</v>
      </c>
      <c r="F11" s="6">
        <v>0.85870100000000005</v>
      </c>
      <c r="G11" s="5"/>
      <c r="H11" s="5">
        <v>3.2417642839879697E-2</v>
      </c>
      <c r="I11" s="5">
        <v>3.2291500000000001E-2</v>
      </c>
      <c r="J11" s="5">
        <v>7.2558700000000002E-3</v>
      </c>
      <c r="K11" s="5"/>
      <c r="L11" s="5"/>
      <c r="M11" s="9">
        <f t="shared" si="0"/>
        <v>0.99610882134451439</v>
      </c>
      <c r="N11" s="9">
        <f t="shared" si="1"/>
        <v>0.22382472519173843</v>
      </c>
      <c r="O11" s="6">
        <f t="shared" si="2"/>
        <v>0</v>
      </c>
    </row>
    <row r="12" spans="1:15" x14ac:dyDescent="0.3">
      <c r="A12">
        <v>150</v>
      </c>
      <c r="B12" s="10">
        <f>A12*$I$27</f>
        <v>60.445103257597395</v>
      </c>
      <c r="C12" s="10">
        <v>3.1649690000000001</v>
      </c>
      <c r="E12" s="13">
        <v>0.61412199999999995</v>
      </c>
      <c r="F12" s="13">
        <v>0.76804600000000001</v>
      </c>
      <c r="G12" s="2"/>
      <c r="H12" s="2">
        <v>3.9055212834252402E-2</v>
      </c>
      <c r="I12" s="2">
        <v>3.9017400000000001E-2</v>
      </c>
      <c r="J12" s="2">
        <v>8.6777399999999998E-3</v>
      </c>
      <c r="K12" s="2"/>
      <c r="L12" s="2"/>
      <c r="M12" s="11">
        <f t="shared" si="0"/>
        <v>0.99903181082605086</v>
      </c>
      <c r="N12" s="11">
        <f t="shared" si="1"/>
        <v>0.22219159416254425</v>
      </c>
      <c r="O12" s="13">
        <f t="shared" si="2"/>
        <v>0</v>
      </c>
    </row>
    <row r="13" spans="1:15" s="4" customFormat="1" x14ac:dyDescent="0.3">
      <c r="A13" s="4">
        <v>250</v>
      </c>
      <c r="B13" s="8">
        <f>A13*$I$27</f>
        <v>100.74183876266233</v>
      </c>
      <c r="C13" s="8">
        <v>5.2749480000000002</v>
      </c>
      <c r="E13" s="6">
        <v>0.47569699999999998</v>
      </c>
      <c r="F13" s="6">
        <v>0.59492599999999995</v>
      </c>
      <c r="G13" s="5"/>
      <c r="H13" s="5">
        <v>5.8983323870902299E-2</v>
      </c>
      <c r="I13" s="5">
        <v>5.9058800000000002E-2</v>
      </c>
      <c r="J13" s="5">
        <v>1.3802999999999999E-2</v>
      </c>
      <c r="K13" s="5"/>
      <c r="L13" s="5"/>
      <c r="M13" s="9">
        <f t="shared" si="0"/>
        <v>1.001279618104651</v>
      </c>
      <c r="N13" s="9">
        <f t="shared" si="1"/>
        <v>0.23401529608963434</v>
      </c>
      <c r="O13" s="6">
        <f t="shared" si="2"/>
        <v>0</v>
      </c>
    </row>
    <row r="14" spans="1:15" x14ac:dyDescent="0.3">
      <c r="A14">
        <v>500</v>
      </c>
      <c r="B14" s="10">
        <f>A14*$I$27</f>
        <v>201.48367752532465</v>
      </c>
      <c r="C14" s="10">
        <v>10.549896</v>
      </c>
      <c r="E14" s="13">
        <v>0.336368</v>
      </c>
      <c r="F14" s="13">
        <v>0.42067599999999999</v>
      </c>
      <c r="G14" s="2"/>
      <c r="H14" s="2">
        <v>0.103595084893309</v>
      </c>
      <c r="I14" s="2">
        <v>0.104042</v>
      </c>
      <c r="J14" s="2">
        <v>2.7241999999999999E-2</v>
      </c>
      <c r="K14" s="2"/>
      <c r="L14" s="2"/>
      <c r="M14" s="11">
        <f t="shared" si="0"/>
        <v>1.0043140570534912</v>
      </c>
      <c r="N14" s="11">
        <f t="shared" si="1"/>
        <v>0.2629661438866151</v>
      </c>
      <c r="O14" s="13">
        <f t="shared" si="2"/>
        <v>0</v>
      </c>
    </row>
    <row r="15" spans="1:15" s="4" customFormat="1" x14ac:dyDescent="0.3">
      <c r="A15" s="4">
        <v>750</v>
      </c>
      <c r="B15" s="8">
        <f>A15*$I$27</f>
        <v>302.22551628798698</v>
      </c>
      <c r="C15" s="8">
        <v>15.824844000000001</v>
      </c>
      <c r="E15" s="6">
        <v>0.274644</v>
      </c>
      <c r="F15" s="6">
        <v>0.34348000000000001</v>
      </c>
      <c r="G15" s="5"/>
      <c r="H15" s="5">
        <v>0.14519436153500101</v>
      </c>
      <c r="I15" s="5">
        <v>0.14546899999999999</v>
      </c>
      <c r="J15" s="5">
        <v>3.7511500000000003E-2</v>
      </c>
      <c r="K15" s="5"/>
      <c r="L15" s="5"/>
      <c r="M15" s="9">
        <f t="shared" si="0"/>
        <v>1.001891522935846</v>
      </c>
      <c r="N15" s="9">
        <f t="shared" si="1"/>
        <v>0.25835369640684952</v>
      </c>
      <c r="O15" s="6">
        <f t="shared" si="2"/>
        <v>0</v>
      </c>
    </row>
    <row r="16" spans="1:15" x14ac:dyDescent="0.3">
      <c r="A16">
        <v>1000</v>
      </c>
      <c r="B16" s="10">
        <f>A16*$I$27</f>
        <v>402.9673550506493</v>
      </c>
      <c r="C16" s="10">
        <v>21.09958</v>
      </c>
      <c r="E16" s="13">
        <v>0.23785000000000001</v>
      </c>
      <c r="F16" s="13">
        <v>0.29746400000000001</v>
      </c>
      <c r="G16" s="2"/>
      <c r="H16" s="2">
        <v>0.185920101577397</v>
      </c>
      <c r="I16" s="2">
        <v>0.186667</v>
      </c>
      <c r="J16" s="2"/>
      <c r="M16" s="11">
        <f t="shared" si="0"/>
        <v>1.0040173085979736</v>
      </c>
      <c r="N16" s="11">
        <f t="shared" si="1"/>
        <v>0</v>
      </c>
      <c r="O16" s="13">
        <f t="shared" si="2"/>
        <v>0</v>
      </c>
    </row>
    <row r="17" spans="2:9" x14ac:dyDescent="0.3">
      <c r="B17" s="10"/>
      <c r="C17" s="10"/>
    </row>
    <row r="24" spans="2:9" x14ac:dyDescent="0.3">
      <c r="H24" s="1" t="s">
        <v>11</v>
      </c>
    </row>
    <row r="25" spans="2:9" x14ac:dyDescent="0.3">
      <c r="G25" s="1"/>
      <c r="H25" s="1" t="s">
        <v>7</v>
      </c>
      <c r="I25" s="1" t="s">
        <v>6</v>
      </c>
    </row>
    <row r="26" spans="2:9" x14ac:dyDescent="0.3">
      <c r="H26" t="s">
        <v>8</v>
      </c>
      <c r="I26">
        <f>4/3*PI()*(0.04)^3</f>
        <v>2.6808257310632905E-4</v>
      </c>
    </row>
    <row r="27" spans="2:9" x14ac:dyDescent="0.3">
      <c r="H27" t="s">
        <v>19</v>
      </c>
      <c r="I27">
        <f>(238.02+32)/238.05 / I26 / 10.5 / 100^3 * 1000</f>
        <v>0.40296735505064929</v>
      </c>
    </row>
    <row r="35" spans="9:9" x14ac:dyDescent="0.3">
      <c r="I35" s="12"/>
    </row>
    <row r="36" spans="9:9" x14ac:dyDescent="0.3">
      <c r="I36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Park</dc:creator>
  <cp:lastModifiedBy>Patrick Park</cp:lastModifiedBy>
  <dcterms:created xsi:type="dcterms:W3CDTF">2015-06-05T18:17:20Z</dcterms:created>
  <dcterms:modified xsi:type="dcterms:W3CDTF">2026-01-03T21:00:59Z</dcterms:modified>
</cp:coreProperties>
</file>