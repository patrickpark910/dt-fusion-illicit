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MCNP\emma-openmc\Jupyter\Wedge\"/>
    </mc:Choice>
  </mc:AlternateContent>
  <xr:revisionPtr revIDLastSave="0" documentId="13_ncr:1_{67A2FE34-9589-4D78-B56C-1ED4E59D4D3A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2" sheetId="2" r:id="rId1"/>
    <sheet name="Figu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21" i="2" s="1"/>
  <c r="R5" i="2"/>
  <c r="R6" i="2"/>
  <c r="R7" i="2"/>
  <c r="R8" i="2"/>
  <c r="R9" i="2"/>
  <c r="R10" i="2"/>
  <c r="R11" i="2"/>
  <c r="R12" i="2"/>
  <c r="R13" i="2"/>
  <c r="R14" i="2"/>
  <c r="R15" i="2"/>
  <c r="R16" i="2"/>
  <c r="R4" i="2"/>
  <c r="Q5" i="2"/>
  <c r="Q6" i="2"/>
  <c r="Q7" i="2"/>
  <c r="Q8" i="2"/>
  <c r="Q9" i="2"/>
  <c r="Q10" i="2"/>
  <c r="Q11" i="2"/>
  <c r="Q12" i="2"/>
  <c r="Q13" i="2"/>
  <c r="Q14" i="2"/>
  <c r="Q15" i="2"/>
  <c r="Q16" i="2"/>
  <c r="Q4" i="2"/>
  <c r="P5" i="2"/>
  <c r="P6" i="2"/>
  <c r="P7" i="2"/>
  <c r="P8" i="2"/>
  <c r="P9" i="2"/>
  <c r="P10" i="2"/>
  <c r="P11" i="2"/>
  <c r="P12" i="2"/>
  <c r="P13" i="2"/>
  <c r="P14" i="2"/>
  <c r="P15" i="2"/>
  <c r="P16" i="2"/>
  <c r="P4" i="2"/>
  <c r="B5" i="2" l="1"/>
  <c r="B11" i="2" l="1"/>
  <c r="B13" i="2"/>
  <c r="B15" i="2"/>
  <c r="B14" i="2"/>
  <c r="B16" i="2"/>
  <c r="B12" i="2"/>
  <c r="B8" i="2"/>
  <c r="B6" i="2"/>
  <c r="B10" i="2"/>
  <c r="B7" i="2"/>
  <c r="B4" i="2"/>
  <c r="B9" i="2"/>
</calcChain>
</file>

<file path=xl/sharedStrings.xml><?xml version="1.0" encoding="utf-8"?>
<sst xmlns="http://schemas.openxmlformats.org/spreadsheetml/2006/main" count="23" uniqueCount="23">
  <si>
    <t>Fertile kg/m3</t>
  </si>
  <si>
    <t>BISO/cm3</t>
  </si>
  <si>
    <t>RESULTS</t>
  </si>
  <si>
    <t>Value</t>
  </si>
  <si>
    <t>Name</t>
  </si>
  <si>
    <t>V_uo2</t>
  </si>
  <si>
    <t>b1 [cm]</t>
  </si>
  <si>
    <t>b2 [cm]</t>
  </si>
  <si>
    <t>VARIABLES</t>
  </si>
  <si>
    <t>Factor change</t>
  </si>
  <si>
    <t>Rate [rxns/src-n]</t>
  </si>
  <si>
    <t>D</t>
  </si>
  <si>
    <t>BV vol%</t>
  </si>
  <si>
    <t>=A/D</t>
  </si>
  <si>
    <t>=B/D</t>
  </si>
  <si>
    <t>=C/D</t>
  </si>
  <si>
    <t>factor</t>
  </si>
  <si>
    <t>A-OpenMC</t>
  </si>
  <si>
    <t>A-MCNP</t>
  </si>
  <si>
    <t>B-OpenMC</t>
  </si>
  <si>
    <t>B-MCNP</t>
  </si>
  <si>
    <t>C-OpenMC</t>
  </si>
  <si>
    <t>C-MCNP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</si>
</sst>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E+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5" borderId="0" xfId="0" applyFill="1"/>
    <xf numFmtId="0" fontId="1" fillId="2" borderId="0" xfId="0" quotePrefix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5"/>
          <c:order val="0"/>
          <c:tx>
            <c:v>D-shape</c:v>
          </c:tx>
          <c:spPr>
            <a:ln w="19050">
              <a:noFill/>
            </a:ln>
          </c:spPr>
          <c:xVal>
            <c:numRef>
              <c:f>Sheet2!$A$4:$A$16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Sheet2!$H$4:$H$16</c:f>
              <c:numCache>
                <c:formatCode>0.00E+00</c:formatCode>
                <c:ptCount val="13"/>
                <c:pt idx="0">
                  <c:v>3.52725672373683E-5</c:v>
                </c:pt>
                <c:pt idx="1">
                  <c:v>1.76088265923015E-4</c:v>
                </c:pt>
                <c:pt idx="2">
                  <c:v>5.2684723504348998E-4</c:v>
                </c:pt>
                <c:pt idx="3">
                  <c:v>5.02535867346246E-3</c:v>
                </c:pt>
                <c:pt idx="4">
                  <c:v>9.6096776712520909E-3</c:v>
                </c:pt>
                <c:pt idx="5">
                  <c:v>1.7956202904139199E-2</c:v>
                </c:pt>
                <c:pt idx="6">
                  <c:v>2.54716677488637E-2</c:v>
                </c:pt>
                <c:pt idx="7">
                  <c:v>3.2417642839879697E-2</c:v>
                </c:pt>
                <c:pt idx="8">
                  <c:v>3.9055212834252402E-2</c:v>
                </c:pt>
                <c:pt idx="9">
                  <c:v>5.8983323870902299E-2</c:v>
                </c:pt>
                <c:pt idx="10">
                  <c:v>0.103595084893309</c:v>
                </c:pt>
                <c:pt idx="11">
                  <c:v>0.14519436153500101</c:v>
                </c:pt>
                <c:pt idx="12">
                  <c:v>0.185920101577397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4742-4BCE-9B80-3DBD1BDD66B3}"/>
            </c:ext>
          </c:extLst>
        </c:ser>
        <c:ser>
          <c:idx val="6"/>
          <c:order val="1"/>
          <c:tx>
            <c:v>A-OpenMC</c:v>
          </c:tx>
          <c:spPr>
            <a:ln w="25400">
              <a:noFill/>
            </a:ln>
          </c:spPr>
          <c:xVal>
            <c:numRef>
              <c:f>Sheet2!$A$4:$A$16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Sheet2!$I$4:$I$16</c:f>
              <c:numCache>
                <c:formatCode>0.00E+00</c:formatCode>
                <c:ptCount val="13"/>
                <c:pt idx="0">
                  <c:v>3.5162900000000002E-5</c:v>
                </c:pt>
                <c:pt idx="1">
                  <c:v>1.7669699999999999E-4</c:v>
                </c:pt>
                <c:pt idx="2">
                  <c:v>5.2894699999999999E-4</c:v>
                </c:pt>
                <c:pt idx="3">
                  <c:v>5.0301599999999997E-3</c:v>
                </c:pt>
                <c:pt idx="4">
                  <c:v>9.5466400000000003E-3</c:v>
                </c:pt>
                <c:pt idx="5">
                  <c:v>1.7839399999999998E-2</c:v>
                </c:pt>
                <c:pt idx="6">
                  <c:v>2.5426299999999999E-2</c:v>
                </c:pt>
                <c:pt idx="7">
                  <c:v>3.2291500000000001E-2</c:v>
                </c:pt>
                <c:pt idx="8">
                  <c:v>3.9017400000000001E-2</c:v>
                </c:pt>
                <c:pt idx="9">
                  <c:v>5.9058800000000002E-2</c:v>
                </c:pt>
                <c:pt idx="10">
                  <c:v>0.104042</c:v>
                </c:pt>
                <c:pt idx="11">
                  <c:v>0.14546899999999999</c:v>
                </c:pt>
                <c:pt idx="12">
                  <c:v>0.186667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4742-4BCE-9B80-3DBD1BDD66B3}"/>
            </c:ext>
          </c:extLst>
        </c:ser>
        <c:ser>
          <c:idx val="7"/>
          <c:order val="2"/>
          <c:tx>
            <c:v>A-MCNP</c:v>
          </c:tx>
          <c:spPr>
            <a:ln w="25400">
              <a:noFill/>
            </a:ln>
          </c:spPr>
          <c:xVal>
            <c:numRef>
              <c:f>Sheet2!$A$4:$A$16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Sheet2!$J$4:$J$16</c:f>
              <c:numCache>
                <c:formatCode>0.00E+00</c:formatCode>
                <c:ptCount val="1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4742-4BCE-9B80-3DBD1BDD66B3}"/>
            </c:ext>
          </c:extLst>
        </c:ser>
        <c:ser>
          <c:idx val="8"/>
          <c:order val="3"/>
          <c:tx>
            <c:v>B-OpenMC</c:v>
          </c:tx>
          <c:spPr>
            <a:ln w="25400">
              <a:noFill/>
            </a:ln>
          </c:spPr>
          <c:xVal>
            <c:numRef>
              <c:f>Sheet2!$A$4:$A$16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Sheet2!$K$4:$K$16</c:f>
              <c:numCache>
                <c:formatCode>0.00E+00</c:formatCode>
                <c:ptCount val="13"/>
                <c:pt idx="0">
                  <c:v>6.2188300000000001E-6</c:v>
                </c:pt>
                <c:pt idx="1">
                  <c:v>3.4790399999999998E-5</c:v>
                </c:pt>
                <c:pt idx="2">
                  <c:v>1.07774E-4</c:v>
                </c:pt>
                <c:pt idx="3">
                  <c:v>9.837540000000001E-4</c:v>
                </c:pt>
                <c:pt idx="4">
                  <c:v>1.9574700000000002E-3</c:v>
                </c:pt>
                <c:pt idx="5">
                  <c:v>3.77656E-3</c:v>
                </c:pt>
                <c:pt idx="6">
                  <c:v>5.35463E-3</c:v>
                </c:pt>
                <c:pt idx="7">
                  <c:v>7.2558700000000002E-3</c:v>
                </c:pt>
                <c:pt idx="8">
                  <c:v>8.6777399999999998E-3</c:v>
                </c:pt>
                <c:pt idx="9">
                  <c:v>1.3802999999999999E-2</c:v>
                </c:pt>
                <c:pt idx="10">
                  <c:v>2.7241999999999999E-2</c:v>
                </c:pt>
                <c:pt idx="11">
                  <c:v>3.7511500000000003E-2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4742-4BCE-9B80-3DBD1BDD66B3}"/>
            </c:ext>
          </c:extLst>
        </c:ser>
        <c:ser>
          <c:idx val="9"/>
          <c:order val="4"/>
          <c:tx>
            <c:v>B-MCNP</c:v>
          </c:tx>
          <c:spPr>
            <a:ln w="25400">
              <a:noFill/>
            </a:ln>
          </c:spPr>
          <c:xVal>
            <c:numRef>
              <c:f>Sheet2!$A$4:$A$16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Sheet2!$L$4:$L$16</c:f>
              <c:numCache>
                <c:formatCode>0.00E+00</c:formatCode>
                <c:ptCount val="13"/>
                <c:pt idx="0">
                  <c:v>7.2283589800322982E-6</c:v>
                </c:pt>
                <c:pt idx="1">
                  <c:v>3.5506773449112674E-5</c:v>
                </c:pt>
                <c:pt idx="2">
                  <c:v>1.0564601677004478E-4</c:v>
                </c:pt>
                <c:pt idx="3">
                  <c:v>1.0548236927556496E-3</c:v>
                </c:pt>
                <c:pt idx="4">
                  <c:v>2.0948517588691182E-3</c:v>
                </c:pt>
                <c:pt idx="5">
                  <c:v>4.108953764066098E-3</c:v>
                </c:pt>
                <c:pt idx="6">
                  <c:v>6.0812610365238457E-3</c:v>
                </c:pt>
                <c:pt idx="7">
                  <c:v>8.017270967046913E-3</c:v>
                </c:pt>
                <c:pt idx="8">
                  <c:v>9.8697824484955642E-3</c:v>
                </c:pt>
                <c:pt idx="9">
                  <c:v>1.5481580872935446E-2</c:v>
                </c:pt>
                <c:pt idx="10">
                  <c:v>2.136209612868915E-2</c:v>
                </c:pt>
                <c:pt idx="11">
                  <c:v>3.1478387405910621E-2</c:v>
                </c:pt>
                <c:pt idx="12">
                  <c:v>4.0537614166508758E-2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4742-4BCE-9B80-3DBD1BDD6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165648"/>
        <c:axId val="1694171408"/>
      </c:scatterChart>
      <c:valAx>
        <c:axId val="169416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171408"/>
        <c:crosses val="autoZero"/>
        <c:crossBetween val="midCat"/>
      </c:valAx>
      <c:valAx>
        <c:axId val="169417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165648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4522394280705315"/>
          <c:y val="0.35512939678475508"/>
          <c:w val="0.10580624061480107"/>
          <c:h val="0.24708902486800682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3"/>
          <c:tx>
            <c:v>B-OpenMC</c:v>
          </c:tx>
          <c:spPr>
            <a:ln w="25400">
              <a:noFill/>
            </a:ln>
          </c:spPr>
          <c:xVal>
            <c:numRef>
              <c:f>Sheet2!$A$4:$A$16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Sheet2!$K$4:$K$16</c:f>
              <c:numCache>
                <c:formatCode>0.00E+00</c:formatCode>
                <c:ptCount val="13"/>
                <c:pt idx="0">
                  <c:v>6.2188300000000001E-6</c:v>
                </c:pt>
                <c:pt idx="1">
                  <c:v>3.4790399999999998E-5</c:v>
                </c:pt>
                <c:pt idx="2">
                  <c:v>1.07774E-4</c:v>
                </c:pt>
                <c:pt idx="3">
                  <c:v>9.837540000000001E-4</c:v>
                </c:pt>
                <c:pt idx="4">
                  <c:v>1.9574700000000002E-3</c:v>
                </c:pt>
                <c:pt idx="5">
                  <c:v>3.77656E-3</c:v>
                </c:pt>
                <c:pt idx="6">
                  <c:v>5.35463E-3</c:v>
                </c:pt>
                <c:pt idx="7">
                  <c:v>7.2558700000000002E-3</c:v>
                </c:pt>
                <c:pt idx="8">
                  <c:v>8.6777399999999998E-3</c:v>
                </c:pt>
                <c:pt idx="9">
                  <c:v>1.3802999999999999E-2</c:v>
                </c:pt>
                <c:pt idx="10">
                  <c:v>2.7241999999999999E-2</c:v>
                </c:pt>
                <c:pt idx="11">
                  <c:v>3.7511500000000003E-2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8AC-48C1-9970-46F3FE5F96AC}"/>
            </c:ext>
          </c:extLst>
        </c:ser>
        <c:ser>
          <c:idx val="3"/>
          <c:order val="4"/>
          <c:tx>
            <c:v>B-MCNP</c:v>
          </c:tx>
          <c:spPr>
            <a:ln w="25400">
              <a:noFill/>
            </a:ln>
          </c:spPr>
          <c:xVal>
            <c:numRef>
              <c:f>Sheet2!$A$4:$A$16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Sheet2!$L$4:$L$16</c:f>
              <c:numCache>
                <c:formatCode>0.00E+00</c:formatCode>
                <c:ptCount val="13"/>
                <c:pt idx="0">
                  <c:v>7.2283589800322982E-6</c:v>
                </c:pt>
                <c:pt idx="1">
                  <c:v>3.5506773449112674E-5</c:v>
                </c:pt>
                <c:pt idx="2">
                  <c:v>1.0564601677004478E-4</c:v>
                </c:pt>
                <c:pt idx="3">
                  <c:v>1.0548236927556496E-3</c:v>
                </c:pt>
                <c:pt idx="4">
                  <c:v>2.0948517588691182E-3</c:v>
                </c:pt>
                <c:pt idx="5">
                  <c:v>4.108953764066098E-3</c:v>
                </c:pt>
                <c:pt idx="6">
                  <c:v>6.0812610365238457E-3</c:v>
                </c:pt>
                <c:pt idx="7">
                  <c:v>8.017270967046913E-3</c:v>
                </c:pt>
                <c:pt idx="8">
                  <c:v>9.8697824484955642E-3</c:v>
                </c:pt>
                <c:pt idx="9">
                  <c:v>1.5481580872935446E-2</c:v>
                </c:pt>
                <c:pt idx="10">
                  <c:v>2.136209612868915E-2</c:v>
                </c:pt>
                <c:pt idx="11">
                  <c:v>3.1478387405910621E-2</c:v>
                </c:pt>
                <c:pt idx="12">
                  <c:v>4.0537614166508758E-2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8AC-48C1-9970-46F3FE5F9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165648"/>
        <c:axId val="1694171408"/>
        <c:extLst>
          <c:ext xmlns:c15="http://schemas.microsoft.com/office/drawing/2012/chart" uri="{02D57815-91ED-43cb-92C2-25804820EDAC}">
            <c15:filteredScatterSeries>
              <c15:ser>
                <c:idx val="5"/>
                <c:order val="0"/>
                <c:tx>
                  <c:v>D-shape</c:v>
                </c:tx>
                <c:spPr>
                  <a:ln w="19050">
                    <a:noFill/>
                  </a:ln>
                </c:spPr>
                <c:xVal>
                  <c:numRef>
                    <c:extLst>
                      <c:ext uri="{02D57815-91ED-43cb-92C2-25804820EDAC}">
                        <c15:formulaRef>
                          <c15:sqref>Sheet2!$A$4:$A$16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0.1</c:v>
                      </c:pt>
                      <c:pt idx="1">
                        <c:v>0.5</c:v>
                      </c:pt>
                      <c:pt idx="2">
                        <c:v>1.5</c:v>
                      </c:pt>
                      <c:pt idx="3">
                        <c:v>15</c:v>
                      </c:pt>
                      <c:pt idx="4">
                        <c:v>30</c:v>
                      </c:pt>
                      <c:pt idx="5">
                        <c:v>60</c:v>
                      </c:pt>
                      <c:pt idx="6">
                        <c:v>90</c:v>
                      </c:pt>
                      <c:pt idx="7">
                        <c:v>120</c:v>
                      </c:pt>
                      <c:pt idx="8">
                        <c:v>150</c:v>
                      </c:pt>
                      <c:pt idx="9">
                        <c:v>250</c:v>
                      </c:pt>
                      <c:pt idx="10">
                        <c:v>500</c:v>
                      </c:pt>
                      <c:pt idx="11">
                        <c:v>750</c:v>
                      </c:pt>
                      <c:pt idx="12">
                        <c:v>1000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Sheet2!$H$4:$H$16</c15:sqref>
                        </c15:formulaRef>
                      </c:ext>
                    </c:extLst>
                    <c:numCache>
                      <c:formatCode>0.00E+00</c:formatCode>
                      <c:ptCount val="13"/>
                      <c:pt idx="0">
                        <c:v>3.52725672373683E-5</c:v>
                      </c:pt>
                      <c:pt idx="1">
                        <c:v>1.76088265923015E-4</c:v>
                      </c:pt>
                      <c:pt idx="2">
                        <c:v>5.2684723504348998E-4</c:v>
                      </c:pt>
                      <c:pt idx="3">
                        <c:v>5.02535867346246E-3</c:v>
                      </c:pt>
                      <c:pt idx="4">
                        <c:v>9.6096776712520909E-3</c:v>
                      </c:pt>
                      <c:pt idx="5">
                        <c:v>1.7956202904139199E-2</c:v>
                      </c:pt>
                      <c:pt idx="6">
                        <c:v>2.54716677488637E-2</c:v>
                      </c:pt>
                      <c:pt idx="7">
                        <c:v>3.2417642839879697E-2</c:v>
                      </c:pt>
                      <c:pt idx="8">
                        <c:v>3.9055212834252402E-2</c:v>
                      </c:pt>
                      <c:pt idx="9">
                        <c:v>5.8983323870902299E-2</c:v>
                      </c:pt>
                      <c:pt idx="10">
                        <c:v>0.103595084893309</c:v>
                      </c:pt>
                      <c:pt idx="11">
                        <c:v>0.14519436153500101</c:v>
                      </c:pt>
                      <c:pt idx="12">
                        <c:v>0.185920101577397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28AC-48C1-9970-46F3FE5F96A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A-OpenMC</c:v>
                </c:tx>
                <c:spPr>
                  <a:ln w="25400">
                    <a:noFill/>
                  </a:ln>
                </c:spPr>
                <c:trendline>
                  <c:spPr>
                    <a:ln w="19050" cap="rnd">
                      <a:solidFill>
                        <a:schemeClr val="accent2"/>
                      </a:solidFill>
                      <a:prstDash val="sysDot"/>
                    </a:ln>
                    <a:effectLst/>
                  </c:spPr>
                  <c:trendlineType val="poly"/>
                  <c:order val="4"/>
                  <c:dispRSqr val="0"/>
                  <c:dispEq val="0"/>
                </c:trendline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Sheet2!$A$4:$A$16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0.1</c:v>
                      </c:pt>
                      <c:pt idx="1">
                        <c:v>0.5</c:v>
                      </c:pt>
                      <c:pt idx="2">
                        <c:v>1.5</c:v>
                      </c:pt>
                      <c:pt idx="3">
                        <c:v>15</c:v>
                      </c:pt>
                      <c:pt idx="4">
                        <c:v>30</c:v>
                      </c:pt>
                      <c:pt idx="5">
                        <c:v>60</c:v>
                      </c:pt>
                      <c:pt idx="6">
                        <c:v>90</c:v>
                      </c:pt>
                      <c:pt idx="7">
                        <c:v>120</c:v>
                      </c:pt>
                      <c:pt idx="8">
                        <c:v>150</c:v>
                      </c:pt>
                      <c:pt idx="9">
                        <c:v>250</c:v>
                      </c:pt>
                      <c:pt idx="10">
                        <c:v>500</c:v>
                      </c:pt>
                      <c:pt idx="11">
                        <c:v>750</c:v>
                      </c:pt>
                      <c:pt idx="12">
                        <c:v>1000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Sheet2!$I$4:$I$16</c15:sqref>
                        </c15:formulaRef>
                      </c:ext>
                    </c:extLst>
                    <c:numCache>
                      <c:formatCode>0.00E+00</c:formatCode>
                      <c:ptCount val="13"/>
                      <c:pt idx="0">
                        <c:v>3.5162900000000002E-5</c:v>
                      </c:pt>
                      <c:pt idx="1">
                        <c:v>1.7669699999999999E-4</c:v>
                      </c:pt>
                      <c:pt idx="2">
                        <c:v>5.2894699999999999E-4</c:v>
                      </c:pt>
                      <c:pt idx="3">
                        <c:v>5.0301599999999997E-3</c:v>
                      </c:pt>
                      <c:pt idx="4">
                        <c:v>9.5466400000000003E-3</c:v>
                      </c:pt>
                      <c:pt idx="5">
                        <c:v>1.7839399999999998E-2</c:v>
                      </c:pt>
                      <c:pt idx="6">
                        <c:v>2.5426299999999999E-2</c:v>
                      </c:pt>
                      <c:pt idx="7">
                        <c:v>3.2291500000000001E-2</c:v>
                      </c:pt>
                      <c:pt idx="8">
                        <c:v>3.9017400000000001E-2</c:v>
                      </c:pt>
                      <c:pt idx="9">
                        <c:v>5.9058800000000002E-2</c:v>
                      </c:pt>
                      <c:pt idx="10">
                        <c:v>0.104042</c:v>
                      </c:pt>
                      <c:pt idx="11">
                        <c:v>0.14546899999999999</c:v>
                      </c:pt>
                      <c:pt idx="12">
                        <c:v>0.186667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28AC-48C1-9970-46F3FE5F96A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A-MCNP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Sheet2!$A$4:$A$16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0.1</c:v>
                      </c:pt>
                      <c:pt idx="1">
                        <c:v>0.5</c:v>
                      </c:pt>
                      <c:pt idx="2">
                        <c:v>1.5</c:v>
                      </c:pt>
                      <c:pt idx="3">
                        <c:v>15</c:v>
                      </c:pt>
                      <c:pt idx="4">
                        <c:v>30</c:v>
                      </c:pt>
                      <c:pt idx="5">
                        <c:v>60</c:v>
                      </c:pt>
                      <c:pt idx="6">
                        <c:v>90</c:v>
                      </c:pt>
                      <c:pt idx="7">
                        <c:v>120</c:v>
                      </c:pt>
                      <c:pt idx="8">
                        <c:v>150</c:v>
                      </c:pt>
                      <c:pt idx="9">
                        <c:v>250</c:v>
                      </c:pt>
                      <c:pt idx="10">
                        <c:v>500</c:v>
                      </c:pt>
                      <c:pt idx="11">
                        <c:v>750</c:v>
                      </c:pt>
                      <c:pt idx="12">
                        <c:v>1000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Sheet2!$J$4:$J$16</c15:sqref>
                        </c15:formulaRef>
                      </c:ext>
                    </c:extLst>
                    <c:numCache>
                      <c:formatCode>0.00E+00</c:formatCode>
                      <c:ptCount val="13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8-28AC-48C1-9970-46F3FE5F96AC}"/>
                  </c:ext>
                </c:extLst>
              </c15:ser>
            </c15:filteredScatterSeries>
          </c:ext>
        </c:extLst>
      </c:scatterChart>
      <c:valAx>
        <c:axId val="169416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b="0"/>
                  <a:t>Fertile kg/m</a:t>
                </a:r>
                <a:r>
                  <a:rPr lang="en-US" b="0" baseline="30000"/>
                  <a:t>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171408"/>
        <c:crosses val="autoZero"/>
        <c:crossBetween val="midCat"/>
      </c:valAx>
      <c:valAx>
        <c:axId val="169417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b="0"/>
                  <a:t>U-238</a:t>
                </a:r>
                <a:r>
                  <a:rPr lang="en-US" b="0" baseline="0"/>
                  <a:t> (n,gamma) reaction rate [rxns/src-n]</a:t>
                </a:r>
              </a:p>
            </c:rich>
          </c:tx>
          <c:overlay val="0"/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165648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2640789834721173"/>
          <c:y val="0.32271508700839524"/>
          <c:w val="0.10580624061480107"/>
          <c:h val="0.14395238402399732"/>
        </c:manualLayout>
      </c:layout>
      <c:overlay val="1"/>
      <c:spPr>
        <a:solidFill>
          <a:schemeClr val="bg1"/>
        </a:solidFill>
        <a:ln w="6350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81474</xdr:colOff>
      <xdr:row>18</xdr:row>
      <xdr:rowOff>139501</xdr:rowOff>
    </xdr:from>
    <xdr:to>
      <xdr:col>15</xdr:col>
      <xdr:colOff>66236</xdr:colOff>
      <xdr:row>42</xdr:row>
      <xdr:rowOff>87158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5A0AA4-A231-39CB-978B-A8D6B953B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43</xdr:row>
      <xdr:rowOff>45720</xdr:rowOff>
    </xdr:from>
    <xdr:to>
      <xdr:col>15</xdr:col>
      <xdr:colOff>114302</xdr:colOff>
      <xdr:row>66</xdr:row>
      <xdr:rowOff>176257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723F39-E913-4D80-9A04-2B4CC4722B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R36"/>
  <sheetViews>
    <sheetView tabSelected="1" topLeftCell="A25" zoomScale="115" zoomScaleNormal="115" workbookViewId="0">
      <selection activeCell="U51" sqref="U51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0.88671875" customWidth="1"/>
    <col min="9" max="11" width="11.5546875" customWidth="1"/>
    <col min="12" max="14" width="10.44140625" customWidth="1"/>
    <col min="15" max="15" width="1.77734375" customWidth="1"/>
    <col min="16" max="16" width="8.6640625" customWidth="1"/>
    <col min="17" max="17" width="9.44140625" customWidth="1"/>
    <col min="18" max="18" width="8.33203125" customWidth="1"/>
    <col min="19" max="19" width="2.77734375" customWidth="1"/>
  </cols>
  <sheetData>
    <row r="1" spans="1:18" x14ac:dyDescent="0.3">
      <c r="H1" s="1" t="s">
        <v>2</v>
      </c>
    </row>
    <row r="2" spans="1:18" x14ac:dyDescent="0.3">
      <c r="H2" s="3" t="s">
        <v>10</v>
      </c>
      <c r="I2" s="3"/>
      <c r="J2" s="3"/>
      <c r="K2" s="3"/>
      <c r="L2" s="3"/>
      <c r="M2" s="3"/>
      <c r="N2" s="3"/>
      <c r="P2" s="14" t="s">
        <v>9</v>
      </c>
      <c r="Q2" s="14"/>
      <c r="R2" s="14"/>
    </row>
    <row r="3" spans="1:18" s="7" customFormat="1" x14ac:dyDescent="0.3">
      <c r="A3" s="7" t="s">
        <v>0</v>
      </c>
      <c r="B3" s="7" t="s">
        <v>1</v>
      </c>
      <c r="C3" s="7" t="s">
        <v>12</v>
      </c>
      <c r="E3" s="7" t="s">
        <v>6</v>
      </c>
      <c r="F3" s="7" t="s">
        <v>7</v>
      </c>
      <c r="H3" s="7" t="s">
        <v>11</v>
      </c>
      <c r="I3" s="7" t="s">
        <v>17</v>
      </c>
      <c r="J3" s="7" t="s">
        <v>18</v>
      </c>
      <c r="K3" s="7" t="s">
        <v>19</v>
      </c>
      <c r="L3" s="7" t="s">
        <v>20</v>
      </c>
      <c r="M3" s="7" t="s">
        <v>21</v>
      </c>
      <c r="N3" s="7" t="s">
        <v>22</v>
      </c>
      <c r="P3" s="15" t="s">
        <v>13</v>
      </c>
      <c r="Q3" s="15" t="s">
        <v>14</v>
      </c>
      <c r="R3" s="15" t="s">
        <v>15</v>
      </c>
    </row>
    <row r="4" spans="1:18" x14ac:dyDescent="0.3">
      <c r="A4">
        <v>0.1</v>
      </c>
      <c r="B4" s="10">
        <f>A4*$B$21</f>
        <v>4.0296735505064935E-2</v>
      </c>
      <c r="C4" s="10">
        <v>2.1099999999999999E-3</v>
      </c>
      <c r="E4" s="13">
        <v>23.784832000000002</v>
      </c>
      <c r="F4" s="13">
        <v>29.746282999999998</v>
      </c>
      <c r="G4" s="2"/>
      <c r="H4" s="2">
        <v>3.52725672373683E-5</v>
      </c>
      <c r="I4" s="2">
        <v>3.5162900000000002E-5</v>
      </c>
      <c r="J4" s="2"/>
      <c r="K4" s="2">
        <v>6.2188300000000001E-6</v>
      </c>
      <c r="L4" s="2">
        <v>7.2283589800322982E-6</v>
      </c>
      <c r="M4" s="2"/>
      <c r="N4" s="2"/>
      <c r="O4" s="2"/>
      <c r="P4" s="11">
        <f>I4/H4</f>
        <v>0.99689086318468723</v>
      </c>
      <c r="Q4" s="11">
        <f>L4/H4</f>
        <v>0.20492863282076229</v>
      </c>
      <c r="R4" s="13">
        <f>N4/H4</f>
        <v>0</v>
      </c>
    </row>
    <row r="5" spans="1:18" s="4" customFormat="1" x14ac:dyDescent="0.3">
      <c r="A5" s="4">
        <v>0.5</v>
      </c>
      <c r="B5" s="8">
        <f>A5*$B$21</f>
        <v>0.20148367752532464</v>
      </c>
      <c r="C5" s="8">
        <v>1.055E-2</v>
      </c>
      <c r="E5" s="6">
        <v>10.636900000000001</v>
      </c>
      <c r="F5" s="6">
        <v>13.302942</v>
      </c>
      <c r="G5" s="5"/>
      <c r="H5" s="5">
        <v>1.76088265923015E-4</v>
      </c>
      <c r="I5" s="5">
        <v>1.7669699999999999E-4</v>
      </c>
      <c r="J5" s="5"/>
      <c r="K5" s="5">
        <v>3.4790399999999998E-5</v>
      </c>
      <c r="L5" s="5">
        <v>3.5506773449112674E-5</v>
      </c>
      <c r="M5" s="5"/>
      <c r="N5" s="5"/>
      <c r="O5" s="5"/>
      <c r="P5" s="9">
        <f t="shared" ref="P5:P16" si="0">I5/H5</f>
        <v>1.0034569826319439</v>
      </c>
      <c r="Q5" s="9">
        <f t="shared" ref="Q5:Q16" si="1">L5/H5</f>
        <v>0.20164190534215423</v>
      </c>
      <c r="R5" s="6">
        <f t="shared" ref="R5:R16" si="2">N5/H5</f>
        <v>0</v>
      </c>
    </row>
    <row r="6" spans="1:18" x14ac:dyDescent="0.3">
      <c r="A6">
        <v>1.5</v>
      </c>
      <c r="B6" s="10">
        <f>A6*$B$21</f>
        <v>0.60445103257597399</v>
      </c>
      <c r="C6" s="10">
        <v>3.1649999999999998E-2</v>
      </c>
      <c r="E6" s="13">
        <v>6.1412170000000001</v>
      </c>
      <c r="F6" s="13">
        <v>7.6804569999999996</v>
      </c>
      <c r="G6" s="2"/>
      <c r="H6" s="2">
        <v>5.2684723504348998E-4</v>
      </c>
      <c r="I6" s="2">
        <v>5.2894699999999999E-4</v>
      </c>
      <c r="J6" s="2"/>
      <c r="K6" s="2">
        <v>1.07774E-4</v>
      </c>
      <c r="L6" s="2">
        <v>1.0564601677004478E-4</v>
      </c>
      <c r="M6" s="2"/>
      <c r="N6" s="2"/>
      <c r="O6" s="2"/>
      <c r="P6" s="11">
        <f t="shared" si="0"/>
        <v>1.0039855290430377</v>
      </c>
      <c r="Q6" s="11">
        <f t="shared" si="1"/>
        <v>0.20052495247758861</v>
      </c>
      <c r="R6" s="13">
        <f t="shared" si="2"/>
        <v>0</v>
      </c>
    </row>
    <row r="7" spans="1:18" s="4" customFormat="1" x14ac:dyDescent="0.3">
      <c r="A7" s="4">
        <v>15</v>
      </c>
      <c r="B7" s="8">
        <f>A7*$B$21</f>
        <v>6.044510325759739</v>
      </c>
      <c r="C7" s="8">
        <v>0.31649699999999997</v>
      </c>
      <c r="E7" s="6">
        <v>1.9420230000000001</v>
      </c>
      <c r="F7" s="6">
        <v>2.4287740000000002</v>
      </c>
      <c r="G7" s="5"/>
      <c r="H7" s="5">
        <v>5.02535867346246E-3</v>
      </c>
      <c r="I7" s="5">
        <v>5.0301599999999997E-3</v>
      </c>
      <c r="J7" s="5"/>
      <c r="K7" s="5">
        <v>9.837540000000001E-4</v>
      </c>
      <c r="L7" s="5">
        <v>1.0548236927556496E-3</v>
      </c>
      <c r="M7" s="5"/>
      <c r="N7" s="5"/>
      <c r="O7" s="5"/>
      <c r="P7" s="9">
        <f t="shared" si="0"/>
        <v>1.0009554196724095</v>
      </c>
      <c r="Q7" s="9">
        <f t="shared" si="1"/>
        <v>0.20990018052360801</v>
      </c>
      <c r="R7" s="6">
        <f t="shared" si="2"/>
        <v>0</v>
      </c>
    </row>
    <row r="8" spans="1:18" x14ac:dyDescent="0.3">
      <c r="A8">
        <v>30</v>
      </c>
      <c r="B8" s="10">
        <f>A8*$B$21</f>
        <v>12.089020651519478</v>
      </c>
      <c r="C8" s="10">
        <v>0.63299399999999995</v>
      </c>
      <c r="E8" s="13">
        <v>1.373218</v>
      </c>
      <c r="F8" s="13">
        <v>1.7174020000000001</v>
      </c>
      <c r="G8" s="2"/>
      <c r="H8" s="2">
        <v>9.6096776712520909E-3</v>
      </c>
      <c r="I8" s="2">
        <v>9.5466400000000003E-3</v>
      </c>
      <c r="J8" s="2"/>
      <c r="K8" s="2">
        <v>1.9574700000000002E-3</v>
      </c>
      <c r="L8" s="2">
        <v>2.0948517588691182E-3</v>
      </c>
      <c r="M8" s="2"/>
      <c r="N8" s="2"/>
      <c r="O8" s="2"/>
      <c r="P8" s="11">
        <f t="shared" si="0"/>
        <v>0.99344018879627238</v>
      </c>
      <c r="Q8" s="11">
        <f t="shared" si="1"/>
        <v>0.21799396717914785</v>
      </c>
      <c r="R8" s="13">
        <f t="shared" si="2"/>
        <v>0</v>
      </c>
    </row>
    <row r="9" spans="1:18" s="4" customFormat="1" x14ac:dyDescent="0.3">
      <c r="A9" s="4">
        <v>60</v>
      </c>
      <c r="B9" s="8">
        <f>A9*$B$21</f>
        <v>24.178041303038956</v>
      </c>
      <c r="C9" s="8">
        <v>1.265987</v>
      </c>
      <c r="E9" s="6">
        <v>0.97101199999999999</v>
      </c>
      <c r="F9" s="6">
        <v>1.2143870000000001</v>
      </c>
      <c r="G9" s="5"/>
      <c r="H9" s="5">
        <v>1.7956202904139199E-2</v>
      </c>
      <c r="I9" s="5">
        <v>1.7839399999999998E-2</v>
      </c>
      <c r="J9" s="5"/>
      <c r="K9" s="5">
        <v>3.77656E-3</v>
      </c>
      <c r="L9" s="5">
        <v>4.108953764066098E-3</v>
      </c>
      <c r="M9" s="5"/>
      <c r="N9" s="5"/>
      <c r="O9" s="5"/>
      <c r="P9" s="9">
        <f t="shared" si="0"/>
        <v>0.99349512228377224</v>
      </c>
      <c r="Q9" s="9">
        <f t="shared" si="1"/>
        <v>0.22883199672013713</v>
      </c>
      <c r="R9" s="6">
        <f t="shared" si="2"/>
        <v>0</v>
      </c>
    </row>
    <row r="10" spans="1:18" x14ac:dyDescent="0.3">
      <c r="A10">
        <v>90</v>
      </c>
      <c r="B10" s="10">
        <f>A10*$B$21</f>
        <v>36.267061954558436</v>
      </c>
      <c r="C10" s="10">
        <v>1.898981</v>
      </c>
      <c r="E10" s="13">
        <v>0.79282799999999998</v>
      </c>
      <c r="F10" s="13">
        <v>0.99154299999999995</v>
      </c>
      <c r="G10" s="2"/>
      <c r="H10" s="2">
        <v>2.54716677488637E-2</v>
      </c>
      <c r="I10" s="2">
        <v>2.5426299999999999E-2</v>
      </c>
      <c r="J10" s="2"/>
      <c r="K10" s="2">
        <v>5.35463E-3</v>
      </c>
      <c r="L10" s="2">
        <v>6.0812610365238457E-3</v>
      </c>
      <c r="M10" s="2"/>
      <c r="N10" s="2"/>
      <c r="O10" s="2"/>
      <c r="P10" s="11">
        <f t="shared" si="0"/>
        <v>0.99821889366212679</v>
      </c>
      <c r="Q10" s="11">
        <f t="shared" si="1"/>
        <v>0.23874608826095153</v>
      </c>
      <c r="R10" s="13">
        <f t="shared" si="2"/>
        <v>0</v>
      </c>
    </row>
    <row r="11" spans="1:18" s="4" customFormat="1" x14ac:dyDescent="0.3">
      <c r="A11" s="4">
        <v>120</v>
      </c>
      <c r="B11" s="8">
        <f>A11*$B$21</f>
        <v>48.356082606077912</v>
      </c>
      <c r="C11" s="8">
        <v>2.5319750000000001</v>
      </c>
      <c r="E11" s="6">
        <v>0.68660900000000002</v>
      </c>
      <c r="F11" s="6">
        <v>0.85870100000000005</v>
      </c>
      <c r="G11" s="5"/>
      <c r="H11" s="5">
        <v>3.2417642839879697E-2</v>
      </c>
      <c r="I11" s="5">
        <v>3.2291500000000001E-2</v>
      </c>
      <c r="J11" s="5"/>
      <c r="K11" s="5">
        <v>7.2558700000000002E-3</v>
      </c>
      <c r="L11" s="5">
        <v>8.017270967046913E-3</v>
      </c>
      <c r="M11" s="5"/>
      <c r="N11" s="5"/>
      <c r="O11" s="5"/>
      <c r="P11" s="9">
        <f t="shared" si="0"/>
        <v>0.99610882134451439</v>
      </c>
      <c r="Q11" s="9">
        <f t="shared" si="1"/>
        <v>0.24731196548270273</v>
      </c>
      <c r="R11" s="6">
        <f t="shared" si="2"/>
        <v>0</v>
      </c>
    </row>
    <row r="12" spans="1:18" x14ac:dyDescent="0.3">
      <c r="A12">
        <v>150</v>
      </c>
      <c r="B12" s="10">
        <f>A12*$B$21</f>
        <v>60.445103257597395</v>
      </c>
      <c r="C12" s="10">
        <v>3.1649690000000001</v>
      </c>
      <c r="E12" s="13">
        <v>0.61412199999999995</v>
      </c>
      <c r="F12" s="13">
        <v>0.76804600000000001</v>
      </c>
      <c r="G12" s="2"/>
      <c r="H12" s="2">
        <v>3.9055212834252402E-2</v>
      </c>
      <c r="I12" s="2">
        <v>3.9017400000000001E-2</v>
      </c>
      <c r="J12" s="2"/>
      <c r="K12" s="2">
        <v>8.6777399999999998E-3</v>
      </c>
      <c r="L12" s="2">
        <v>9.8697824484955642E-3</v>
      </c>
      <c r="M12" s="2"/>
      <c r="N12" s="2"/>
      <c r="O12" s="2"/>
      <c r="P12" s="11">
        <f t="shared" si="0"/>
        <v>0.99903181082605086</v>
      </c>
      <c r="Q12" s="11">
        <f t="shared" si="1"/>
        <v>0.25271357476355927</v>
      </c>
      <c r="R12" s="13">
        <f t="shared" si="2"/>
        <v>0</v>
      </c>
    </row>
    <row r="13" spans="1:18" s="4" customFormat="1" x14ac:dyDescent="0.3">
      <c r="A13" s="4">
        <v>250</v>
      </c>
      <c r="B13" s="8">
        <f>A13*$B$21</f>
        <v>100.74183876266233</v>
      </c>
      <c r="C13" s="8">
        <v>5.2749480000000002</v>
      </c>
      <c r="E13" s="6">
        <v>0.47569699999999998</v>
      </c>
      <c r="F13" s="6">
        <v>0.59492599999999995</v>
      </c>
      <c r="G13" s="5"/>
      <c r="H13" s="5">
        <v>5.8983323870902299E-2</v>
      </c>
      <c r="I13" s="5">
        <v>5.9058800000000002E-2</v>
      </c>
      <c r="J13" s="5"/>
      <c r="K13" s="5">
        <v>1.3802999999999999E-2</v>
      </c>
      <c r="L13" s="5">
        <v>1.5481580872935446E-2</v>
      </c>
      <c r="M13" s="5"/>
      <c r="N13" s="5"/>
      <c r="O13" s="5"/>
      <c r="P13" s="9">
        <f t="shared" si="0"/>
        <v>1.001279618104651</v>
      </c>
      <c r="Q13" s="9">
        <f t="shared" si="1"/>
        <v>0.26247386306713094</v>
      </c>
      <c r="R13" s="6">
        <f t="shared" si="2"/>
        <v>0</v>
      </c>
    </row>
    <row r="14" spans="1:18" x14ac:dyDescent="0.3">
      <c r="A14">
        <v>500</v>
      </c>
      <c r="B14" s="10">
        <f>A14*$B$21</f>
        <v>201.48367752532465</v>
      </c>
      <c r="C14" s="10">
        <v>10.549896</v>
      </c>
      <c r="E14" s="13">
        <v>0.336368</v>
      </c>
      <c r="F14" s="13">
        <v>0.42067599999999999</v>
      </c>
      <c r="G14" s="2"/>
      <c r="H14" s="2">
        <v>0.103595084893309</v>
      </c>
      <c r="I14" s="2">
        <v>0.104042</v>
      </c>
      <c r="J14" s="2"/>
      <c r="K14" s="2">
        <v>2.7241999999999999E-2</v>
      </c>
      <c r="L14" s="2">
        <v>2.136209612868915E-2</v>
      </c>
      <c r="M14" s="2"/>
      <c r="N14" s="2"/>
      <c r="O14" s="2"/>
      <c r="P14" s="11">
        <f t="shared" si="0"/>
        <v>1.0043140570534912</v>
      </c>
      <c r="Q14" s="11">
        <f t="shared" si="1"/>
        <v>0.20620762221189981</v>
      </c>
      <c r="R14" s="13">
        <f t="shared" si="2"/>
        <v>0</v>
      </c>
    </row>
    <row r="15" spans="1:18" s="4" customFormat="1" x14ac:dyDescent="0.3">
      <c r="A15" s="4">
        <v>750</v>
      </c>
      <c r="B15" s="8">
        <f>A15*$B$21</f>
        <v>302.22551628798698</v>
      </c>
      <c r="C15" s="8">
        <v>15.824844000000001</v>
      </c>
      <c r="E15" s="6">
        <v>0.274644</v>
      </c>
      <c r="F15" s="6">
        <v>0.34348000000000001</v>
      </c>
      <c r="G15" s="5"/>
      <c r="H15" s="5">
        <v>0.14519436153500101</v>
      </c>
      <c r="I15" s="5">
        <v>0.14546899999999999</v>
      </c>
      <c r="J15" s="5"/>
      <c r="K15" s="5">
        <v>3.7511500000000003E-2</v>
      </c>
      <c r="L15" s="5">
        <v>3.1478387405910621E-2</v>
      </c>
      <c r="M15" s="5"/>
      <c r="N15" s="5"/>
      <c r="O15" s="5"/>
      <c r="P15" s="9">
        <f t="shared" si="0"/>
        <v>1.001891522935846</v>
      </c>
      <c r="Q15" s="9">
        <f t="shared" si="1"/>
        <v>0.21680172062551026</v>
      </c>
      <c r="R15" s="6">
        <f t="shared" si="2"/>
        <v>0</v>
      </c>
    </row>
    <row r="16" spans="1:18" x14ac:dyDescent="0.3">
      <c r="A16">
        <v>1000</v>
      </c>
      <c r="B16" s="10">
        <f>A16*$B$21</f>
        <v>402.9673550506493</v>
      </c>
      <c r="C16" s="10">
        <v>21.09958</v>
      </c>
      <c r="E16" s="13">
        <v>0.23785000000000001</v>
      </c>
      <c r="F16" s="13">
        <v>0.29746400000000001</v>
      </c>
      <c r="G16" s="2"/>
      <c r="H16" s="2">
        <v>0.185920101577397</v>
      </c>
      <c r="I16" s="2">
        <v>0.186667</v>
      </c>
      <c r="J16" s="2"/>
      <c r="K16" s="2"/>
      <c r="L16" s="2">
        <v>4.0537614166508758E-2</v>
      </c>
      <c r="M16" s="2"/>
      <c r="P16" s="11">
        <f t="shared" si="0"/>
        <v>1.0040173085979736</v>
      </c>
      <c r="Q16" s="11">
        <f t="shared" si="1"/>
        <v>0.21803782282053716</v>
      </c>
      <c r="R16" s="13">
        <f t="shared" si="2"/>
        <v>0</v>
      </c>
    </row>
    <row r="17" spans="1:11" x14ac:dyDescent="0.3">
      <c r="B17" s="10"/>
      <c r="C17" s="10"/>
    </row>
    <row r="18" spans="1:11" x14ac:dyDescent="0.3">
      <c r="A18" s="1" t="s">
        <v>8</v>
      </c>
    </row>
    <row r="19" spans="1:11" x14ac:dyDescent="0.3">
      <c r="A19" s="1" t="s">
        <v>4</v>
      </c>
      <c r="B19" s="1" t="s">
        <v>3</v>
      </c>
    </row>
    <row r="20" spans="1:11" x14ac:dyDescent="0.3">
      <c r="A20" t="s">
        <v>5</v>
      </c>
      <c r="B20">
        <f>4/3*PI()*(0.04)^3</f>
        <v>2.6808257310632905E-4</v>
      </c>
    </row>
    <row r="21" spans="1:11" x14ac:dyDescent="0.3">
      <c r="A21" t="s">
        <v>16</v>
      </c>
      <c r="B21">
        <f>(238.02+32)/238.05 / B20 / 10.5 / 100^3 * 1000</f>
        <v>0.40296735505064929</v>
      </c>
    </row>
    <row r="25" spans="1:11" x14ac:dyDescent="0.3">
      <c r="G25" s="1"/>
      <c r="J25" s="1"/>
      <c r="K25" s="1"/>
    </row>
    <row r="35" spans="9:11" x14ac:dyDescent="0.3">
      <c r="I35" s="12"/>
      <c r="J35" s="12"/>
      <c r="K35" s="12"/>
    </row>
    <row r="36" spans="9:11" x14ac:dyDescent="0.3">
      <c r="I36" s="12"/>
      <c r="J36" s="12"/>
      <c r="K36" s="1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64C41-891F-45FF-892B-9697A9E85178}">
  <dimension ref="A1"/>
  <sheetViews>
    <sheetView workbookViewId="0">
      <selection activeCell="B3" sqref="B3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Figures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2026-01-05T03:07:33Z</dcterms:modified>
</cp:coreProperties>
</file>