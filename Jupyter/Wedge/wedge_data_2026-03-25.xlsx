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2727A53E-B710-49C1-8960-17B14C6CB01B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3" l="1"/>
  <c r="I35" i="3"/>
  <c r="I34" i="3"/>
  <c r="I33" i="3"/>
  <c r="I32" i="3"/>
  <c r="I31" i="3"/>
  <c r="I30" i="3"/>
  <c r="I29" i="3"/>
  <c r="I28" i="3"/>
  <c r="I27" i="3"/>
  <c r="I26" i="3"/>
  <c r="I25" i="3"/>
  <c r="I24" i="3"/>
  <c r="I17" i="3"/>
  <c r="I6" i="3"/>
  <c r="I7" i="3"/>
  <c r="I8" i="3"/>
  <c r="I9" i="3"/>
  <c r="I10" i="3"/>
  <c r="I11" i="3"/>
  <c r="I12" i="3"/>
  <c r="I13" i="3"/>
  <c r="I14" i="3"/>
  <c r="I15" i="3"/>
  <c r="I16" i="3"/>
  <c r="I5" i="3"/>
  <c r="N55" i="3"/>
  <c r="N56" i="3"/>
  <c r="N73" i="3"/>
  <c r="N74" i="3"/>
  <c r="N89" i="3"/>
  <c r="N88" i="3"/>
  <c r="N87" i="3"/>
  <c r="N86" i="3"/>
  <c r="N85" i="3"/>
  <c r="N84" i="3"/>
  <c r="N83" i="3"/>
  <c r="N82" i="3"/>
  <c r="N81" i="3"/>
  <c r="N80" i="3"/>
  <c r="N79" i="3"/>
  <c r="I63" i="3"/>
  <c r="I80" i="3" s="1"/>
  <c r="I64" i="3"/>
  <c r="I81" i="3" s="1"/>
  <c r="I65" i="3"/>
  <c r="I82" i="3" s="1"/>
  <c r="I66" i="3"/>
  <c r="I83" i="3" s="1"/>
  <c r="I67" i="3"/>
  <c r="I84" i="3" s="1"/>
  <c r="I68" i="3"/>
  <c r="I85" i="3" s="1"/>
  <c r="I69" i="3"/>
  <c r="I86" i="3" s="1"/>
  <c r="I70" i="3"/>
  <c r="I87" i="3" s="1"/>
  <c r="I71" i="3"/>
  <c r="I88" i="3" s="1"/>
  <c r="I72" i="3"/>
  <c r="I89" i="3" s="1"/>
  <c r="I73" i="3"/>
  <c r="I90" i="3" s="1"/>
  <c r="I74" i="3"/>
  <c r="I91" i="3" s="1"/>
  <c r="I45" i="3"/>
  <c r="I46" i="3"/>
  <c r="I47" i="3"/>
  <c r="I48" i="3"/>
  <c r="I49" i="3"/>
  <c r="I50" i="3"/>
  <c r="I51" i="3"/>
  <c r="I52" i="3"/>
  <c r="I53" i="3"/>
  <c r="I54" i="3"/>
  <c r="I55" i="3"/>
  <c r="I56" i="3"/>
  <c r="H25" i="3"/>
  <c r="H26" i="3"/>
  <c r="H27" i="3"/>
  <c r="H28" i="3"/>
  <c r="H29" i="3"/>
  <c r="H30" i="3"/>
  <c r="H31" i="3"/>
  <c r="H32" i="3"/>
  <c r="H33" i="3"/>
  <c r="H34" i="3"/>
  <c r="H35" i="3"/>
  <c r="H36" i="3"/>
  <c r="N25" i="3"/>
  <c r="N26" i="3"/>
  <c r="N27" i="3"/>
  <c r="N28" i="3"/>
  <c r="N29" i="3"/>
  <c r="N30" i="3"/>
  <c r="N31" i="3"/>
  <c r="N32" i="3"/>
  <c r="N33" i="3"/>
  <c r="N34" i="3"/>
  <c r="N35" i="3"/>
  <c r="N36" i="3"/>
  <c r="N6" i="3"/>
  <c r="N7" i="3"/>
  <c r="N8" i="3"/>
  <c r="N9" i="3"/>
  <c r="N10" i="3"/>
  <c r="N11" i="3"/>
  <c r="N12" i="3"/>
  <c r="N13" i="3"/>
  <c r="N14" i="3"/>
  <c r="N15" i="3"/>
  <c r="N16" i="3"/>
  <c r="N17" i="3"/>
  <c r="H6" i="3"/>
  <c r="H7" i="3"/>
  <c r="H8" i="3"/>
  <c r="H9" i="3"/>
  <c r="H10" i="3"/>
  <c r="H11" i="3"/>
  <c r="H12" i="3"/>
  <c r="H13" i="3"/>
  <c r="H14" i="3"/>
  <c r="H15" i="3"/>
  <c r="H16" i="3"/>
  <c r="H17" i="3"/>
  <c r="N72" i="3"/>
  <c r="N71" i="3"/>
  <c r="N70" i="3"/>
  <c r="N69" i="3"/>
  <c r="N68" i="3"/>
  <c r="N67" i="3"/>
  <c r="N66" i="3"/>
  <c r="N65" i="3"/>
  <c r="N64" i="3"/>
  <c r="N63" i="3"/>
  <c r="N62" i="3"/>
  <c r="I62" i="3"/>
  <c r="I79" i="3" s="1"/>
  <c r="N54" i="3"/>
  <c r="N53" i="3"/>
  <c r="N52" i="3"/>
  <c r="N51" i="3"/>
  <c r="N50" i="3"/>
  <c r="N49" i="3"/>
  <c r="N48" i="3"/>
  <c r="N47" i="3"/>
  <c r="N46" i="3"/>
  <c r="N45" i="3"/>
  <c r="N44" i="3"/>
  <c r="I44" i="3"/>
  <c r="N24" i="3"/>
  <c r="N5" i="3"/>
  <c r="H24" i="3" l="1"/>
  <c r="H5" i="3" l="1"/>
</calcChain>
</file>

<file path=xl/sharedStrings.xml><?xml version="1.0" encoding="utf-8"?>
<sst xmlns="http://schemas.openxmlformats.org/spreadsheetml/2006/main" count="67" uniqueCount="14">
  <si>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</si>
  <si>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</si>
  <si>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</si>
  <si>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</si>
  <si>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</si>
  <si>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</si>
  <si>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Wedge-C</t>
  </si>
  <si>
    <t>Wedge-A</t>
  </si>
  <si>
    <t>=C/A</t>
  </si>
  <si>
    <t>DCLL-Greta</t>
  </si>
  <si>
    <t>FISSILE PRODUCTION RATE ERROR PROPAGATION [ RXNS/SRC-N ]</t>
  </si>
  <si>
    <t>A-err</t>
  </si>
  <si>
    <t>C-err</t>
  </si>
  <si>
    <t>=C/A 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</si>
</sst>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73" formatCode="0.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164" fontId="0" fillId="4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7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1'!$H$24:$H$36</c:f>
              <c:numCache>
                <c:formatCode>0.000000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0.73244907600666376</c:v>
                </c:pt>
                <c:pt idx="5">
                  <c:v>0.76691398093902452</c:v>
                </c:pt>
                <c:pt idx="6">
                  <c:v>0.79412199858198884</c:v>
                </c:pt>
                <c:pt idx="7">
                  <c:v>0.82771654679092965</c:v>
                </c:pt>
                <c:pt idx="8">
                  <c:v>0.87277793951821403</c:v>
                </c:pt>
                <c:pt idx="9">
                  <c:v>0.90774216971761523</c:v>
                </c:pt>
                <c:pt idx="10">
                  <c:v>0.96885985849430767</c:v>
                </c:pt>
                <c:pt idx="11">
                  <c:v>1.0035052756769365</c:v>
                </c:pt>
                <c:pt idx="12">
                  <c:v>1.0159556160581653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A-449C-BA40-26C8A0D4DFC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1'!$N$24:$N$36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5A-449C-BA40-26C8A0D4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801328"/>
        <c:axId val="1647516927"/>
      </c:scatterChart>
      <c:valAx>
        <c:axId val="1393801328"/>
        <c:scaling>
          <c:orientation val="minMax"/>
          <c:max val="1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516927"/>
        <c:crosses val="autoZero"/>
        <c:crossBetween val="midCat"/>
      </c:valAx>
      <c:valAx>
        <c:axId val="164751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80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0.11546806649168855"/>
                  <c:y val="0.182226260179016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1.0001629351709587</c:v>
                </c:pt>
                <c:pt idx="1">
                  <c:v>1.0000650261216626</c:v>
                </c:pt>
                <c:pt idx="2">
                  <c:v>0.99996036360746876</c:v>
                </c:pt>
                <c:pt idx="3">
                  <c:v>1.0005266084564297</c:v>
                </c:pt>
                <c:pt idx="4">
                  <c:v>1.0018467149465879</c:v>
                </c:pt>
                <c:pt idx="5">
                  <c:v>1.002287048308576</c:v>
                </c:pt>
                <c:pt idx="6">
                  <c:v>1.0038025582102672</c:v>
                </c:pt>
                <c:pt idx="7">
                  <c:v>1.0036838050286592</c:v>
                </c:pt>
                <c:pt idx="8">
                  <c:v>1.002467577491776</c:v>
                </c:pt>
                <c:pt idx="9">
                  <c:v>1.000596548769378</c:v>
                </c:pt>
                <c:pt idx="10">
                  <c:v>1.0015290596941282</c:v>
                </c:pt>
                <c:pt idx="11">
                  <c:v>1.0029865814925498</c:v>
                </c:pt>
                <c:pt idx="12">
                  <c:v>1.0003513071302839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1-4DCE-9286-72E05B5CD6A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-0.14286526684164486"/>
                  <c:y val="-1.11645299145299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1'!$N$5:$N$17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1-4DCE-9286-72E05B5C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89503"/>
        <c:axId val="1641287583"/>
      </c:scatterChart>
      <c:valAx>
        <c:axId val="164128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7583"/>
        <c:crosses val="autoZero"/>
        <c:crossBetween val="midCat"/>
      </c:valAx>
      <c:valAx>
        <c:axId val="16412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1'!$I$61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1'!$A$62:$A$74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1'!$I$62:$I$74</c:f>
              <c:numCache>
                <c:formatCode>0.000000</c:formatCode>
                <c:ptCount val="13"/>
                <c:pt idx="0">
                  <c:v>0.98141967163352228</c:v>
                </c:pt>
                <c:pt idx="1">
                  <c:v>0.92802141334950694</c:v>
                </c:pt>
                <c:pt idx="2">
                  <c:v>1.0257080460192236</c:v>
                </c:pt>
                <c:pt idx="3">
                  <c:v>1.0646127665011473</c:v>
                </c:pt>
                <c:pt idx="4">
                  <c:v>1.0753237074121145</c:v>
                </c:pt>
                <c:pt idx="5">
                  <c:v>1.0422360763919929</c:v>
                </c:pt>
                <c:pt idx="6">
                  <c:v>1.0978441524727602</c:v>
                </c:pt>
                <c:pt idx="7">
                  <c:v>1.0378247495664441</c:v>
                </c:pt>
                <c:pt idx="8">
                  <c:v>1.0332088675177227</c:v>
                </c:pt>
                <c:pt idx="9">
                  <c:v>1.1033275421994369</c:v>
                </c:pt>
                <c:pt idx="10">
                  <c:v>1.0613255687481478</c:v>
                </c:pt>
                <c:pt idx="11">
                  <c:v>1.0852827519045309</c:v>
                </c:pt>
                <c:pt idx="12">
                  <c:v>1.1057317871283765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CE-479C-9EA8-30A245A0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16576"/>
        <c:axId val="114617056"/>
      </c:scatterChart>
      <c:valAx>
        <c:axId val="11461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7056"/>
        <c:crosses val="autoZero"/>
        <c:crossBetween val="midCat"/>
      </c:valAx>
      <c:valAx>
        <c:axId val="11461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1'!$I$43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1'!$I$44:$I$56</c:f>
              <c:numCache>
                <c:formatCode>0.000000</c:formatCode>
                <c:ptCount val="13"/>
                <c:pt idx="0">
                  <c:v>0.9985035371420129</c:v>
                </c:pt>
                <c:pt idx="1">
                  <c:v>0.98715209394887005</c:v>
                </c:pt>
                <c:pt idx="2">
                  <c:v>0.99284501043036377</c:v>
                </c:pt>
                <c:pt idx="3">
                  <c:v>1.0204895071175968</c:v>
                </c:pt>
                <c:pt idx="4">
                  <c:v>1.0049119467662411</c:v>
                </c:pt>
                <c:pt idx="5">
                  <c:v>0.99460716116426584</c:v>
                </c:pt>
                <c:pt idx="6">
                  <c:v>1.0195310334465668</c:v>
                </c:pt>
                <c:pt idx="7">
                  <c:v>0.98333502299608533</c:v>
                </c:pt>
                <c:pt idx="8">
                  <c:v>0.98631763108404502</c:v>
                </c:pt>
                <c:pt idx="9">
                  <c:v>1.0290963972436542</c:v>
                </c:pt>
                <c:pt idx="10">
                  <c:v>0.99666881879093805</c:v>
                </c:pt>
                <c:pt idx="11">
                  <c:v>1.0030035803296993</c:v>
                </c:pt>
                <c:pt idx="12">
                  <c:v>1.0148841983751864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6-4BEB-84E0-6A0C66B7B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77952"/>
        <c:axId val="111975072"/>
      </c:scatterChart>
      <c:valAx>
        <c:axId val="1119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5072"/>
        <c:crosses val="autoZero"/>
        <c:crossBetween val="midCat"/>
      </c:valAx>
      <c:valAx>
        <c:axId val="11197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383970</xdr:colOff>
      <xdr:row>20</xdr:row>
      <xdr:rowOff>103240</xdr:rowOff>
    </xdr:from>
    <xdr:to>
      <xdr:col>23</xdr:col>
      <xdr:colOff>79170</xdr:colOff>
      <xdr:row>37</xdr:row>
      <xdr:rowOff>103240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F6084-11AA-97F7-53C2-9A86E48D2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373877</xdr:colOff>
      <xdr:row>2</xdr:row>
      <xdr:rowOff>99060</xdr:rowOff>
    </xdr:from>
    <xdr:to>
      <xdr:col>23</xdr:col>
      <xdr:colOff>69077</xdr:colOff>
      <xdr:row>17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8D171C-51DC-A2DA-08F3-A64A456D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7289</xdr:colOff>
      <xdr:row>59</xdr:row>
      <xdr:rowOff>9939</xdr:rowOff>
    </xdr:from>
    <xdr:to>
      <xdr:col>22</xdr:col>
      <xdr:colOff>310764</xdr:colOff>
      <xdr:row>74</xdr:row>
      <xdr:rowOff>9939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18F3B-2271-EEFD-8B60-2D067E479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8614</xdr:colOff>
      <xdr:row>41</xdr:row>
      <xdr:rowOff>20871</xdr:rowOff>
    </xdr:from>
    <xdr:to>
      <xdr:col>22</xdr:col>
      <xdr:colOff>312089</xdr:colOff>
      <xdr:row>57</xdr:row>
      <xdr:rowOff>20871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82A22E-8B90-A0A4-CE77-0333E07A7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O91"/>
  <sheetViews>
    <sheetView tabSelected="1" zoomScale="115" zoomScaleNormal="115" workbookViewId="0">
      <selection activeCell="H20" sqref="H20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8" width="15.88671875" customWidth="1"/>
    <col min="9" max="9" width="15.109375" customWidth="1"/>
    <col min="10" max="10" width="2.77734375" customWidth="1"/>
    <col min="11" max="14" width="13.33203125" customWidth="1"/>
    <col min="15" max="15" width="14.21875" customWidth="1"/>
  </cols>
  <sheetData>
    <row r="1" spans="1:15" x14ac:dyDescent="0.3">
      <c r="K1" s="1"/>
      <c r="L1" s="1"/>
      <c r="M1" s="1"/>
      <c r="N1" s="1"/>
    </row>
    <row r="2" spans="1:15" x14ac:dyDescent="0.3">
      <c r="C2" s="14" t="s">
        <v>2</v>
      </c>
      <c r="D2" s="14"/>
      <c r="E2" s="14"/>
      <c r="F2" s="15"/>
      <c r="G2" s="15"/>
      <c r="H2" s="15"/>
      <c r="K2" s="2"/>
      <c r="L2" s="2"/>
      <c r="M2" s="2"/>
      <c r="N2" s="2"/>
    </row>
    <row r="3" spans="1:15" x14ac:dyDescent="0.3">
      <c r="C3" s="3" t="s">
        <v>4</v>
      </c>
      <c r="D3" s="3"/>
      <c r="E3" s="3"/>
      <c r="F3" s="9"/>
      <c r="G3" s="9"/>
      <c r="H3" s="9"/>
      <c r="I3" s="3"/>
      <c r="K3" s="3" t="s">
        <v>3</v>
      </c>
      <c r="L3" s="3"/>
      <c r="M3" s="9"/>
      <c r="N3" s="9"/>
      <c r="O3" s="3"/>
    </row>
    <row r="4" spans="1:15" x14ac:dyDescent="0.3">
      <c r="A4" s="6" t="s">
        <v>0</v>
      </c>
      <c r="B4" s="6"/>
      <c r="C4" s="6" t="s">
        <v>1</v>
      </c>
      <c r="D4" s="6" t="s">
        <v>7</v>
      </c>
      <c r="E4" s="6" t="s">
        <v>11</v>
      </c>
      <c r="F4" s="6" t="s">
        <v>6</v>
      </c>
      <c r="G4" s="6" t="s">
        <v>12</v>
      </c>
      <c r="H4" s="7" t="s">
        <v>8</v>
      </c>
      <c r="I4" s="7" t="s">
        <v>13</v>
      </c>
      <c r="J4" s="8"/>
      <c r="K4" s="6" t="s">
        <v>1</v>
      </c>
      <c r="L4" s="6" t="s">
        <v>7</v>
      </c>
      <c r="M4" s="6" t="s">
        <v>6</v>
      </c>
      <c r="N4" s="7" t="s">
        <v>8</v>
      </c>
      <c r="O4" s="7"/>
    </row>
    <row r="5" spans="1:15" x14ac:dyDescent="0.3">
      <c r="A5">
        <v>0.1</v>
      </c>
      <c r="B5" s="5"/>
      <c r="D5">
        <v>1.3891095589010301</v>
      </c>
      <c r="E5">
        <v>1.02494314460544E-4</v>
      </c>
      <c r="F5">
        <v>1.38933589370449</v>
      </c>
      <c r="G5">
        <v>1.1377551521665301E-4</v>
      </c>
      <c r="H5" s="10">
        <f>F5/D5</f>
        <v>1.0001629351709587</v>
      </c>
      <c r="I5">
        <f>H5*((E5/D5)^2 +(G5/F5)^2)^0.5</f>
        <v>1.1024684824037706E-4</v>
      </c>
      <c r="J5" s="4"/>
      <c r="M5">
        <v>1.38932778213898</v>
      </c>
      <c r="N5" s="10" t="e">
        <f>M5/L5</f>
        <v>#DIV/0!</v>
      </c>
      <c r="O5" s="10"/>
    </row>
    <row r="6" spans="1:15" x14ac:dyDescent="0.3">
      <c r="A6">
        <v>0.5</v>
      </c>
      <c r="B6" s="5"/>
      <c r="D6">
        <v>1.38907673010083</v>
      </c>
      <c r="E6">
        <v>1.52707495750366E-4</v>
      </c>
      <c r="F6">
        <v>1.3891670563732801</v>
      </c>
      <c r="G6">
        <v>1.6878154642812701E-4</v>
      </c>
      <c r="H6" s="10">
        <f>F6/D6</f>
        <v>1.0000650261216626</v>
      </c>
      <c r="I6">
        <f t="shared" ref="I6:I16" si="0">H6*((E6/D6)^2 +(G6/F6)^2)^0.5</f>
        <v>1.6386259048946993E-4</v>
      </c>
      <c r="J6" s="4"/>
      <c r="M6">
        <v>1.38912815811046</v>
      </c>
      <c r="N6" s="10" t="e">
        <f t="shared" ref="N6:N17" si="1">M6/L6</f>
        <v>#DIV/0!</v>
      </c>
      <c r="O6" s="10"/>
    </row>
    <row r="7" spans="1:15" x14ac:dyDescent="0.3">
      <c r="A7">
        <v>1</v>
      </c>
      <c r="B7" s="5"/>
      <c r="D7">
        <v>1.3889139640202901</v>
      </c>
      <c r="E7">
        <v>1.8201886596701201E-4</v>
      </c>
      <c r="F7">
        <v>1.3888589124812201</v>
      </c>
      <c r="G7">
        <v>1.54337152453701E-4</v>
      </c>
      <c r="H7" s="10">
        <f>F7/D7</f>
        <v>0.99996036360746876</v>
      </c>
      <c r="I7">
        <f t="shared" si="0"/>
        <v>1.7181641313147609E-4</v>
      </c>
      <c r="J7" s="4"/>
      <c r="M7">
        <v>1.38877619043423</v>
      </c>
      <c r="N7" s="10" t="e">
        <f t="shared" si="1"/>
        <v>#DIV/0!</v>
      </c>
      <c r="O7" s="10"/>
    </row>
    <row r="8" spans="1:15" x14ac:dyDescent="0.3">
      <c r="A8">
        <v>10</v>
      </c>
      <c r="B8" s="5"/>
      <c r="D8">
        <v>1.38607567014507</v>
      </c>
      <c r="E8">
        <v>3.8958612319318502E-4</v>
      </c>
      <c r="F8">
        <v>1.3868055893142199</v>
      </c>
      <c r="G8">
        <v>4.0944327607914799E-4</v>
      </c>
      <c r="H8" s="10">
        <f>F8/D8</f>
        <v>1.0005266084564297</v>
      </c>
      <c r="I8">
        <f t="shared" si="0"/>
        <v>4.0785290749755253E-4</v>
      </c>
      <c r="J8" s="4"/>
      <c r="M8">
        <v>1.38594397488493</v>
      </c>
      <c r="N8" s="10" t="e">
        <f t="shared" si="1"/>
        <v>#DIV/0!</v>
      </c>
      <c r="O8" s="10"/>
    </row>
    <row r="9" spans="1:15" s="4" customFormat="1" x14ac:dyDescent="0.3">
      <c r="A9">
        <v>25</v>
      </c>
      <c r="B9" s="5"/>
      <c r="C9"/>
      <c r="D9">
        <v>1.37947186689904</v>
      </c>
      <c r="E9">
        <v>8.86091661857925E-4</v>
      </c>
      <c r="F9">
        <v>1.3820193582140401</v>
      </c>
      <c r="G9">
        <v>1.17898543365087E-3</v>
      </c>
      <c r="H9" s="10">
        <f>F9/D9</f>
        <v>1.0018467149465879</v>
      </c>
      <c r="I9">
        <f t="shared" si="0"/>
        <v>1.0698498708561776E-3</v>
      </c>
      <c r="K9"/>
      <c r="L9"/>
      <c r="M9">
        <v>1.3801396333334499</v>
      </c>
      <c r="N9" s="10" t="e">
        <f t="shared" si="1"/>
        <v>#DIV/0!</v>
      </c>
      <c r="O9" s="11"/>
    </row>
    <row r="10" spans="1:15" x14ac:dyDescent="0.3">
      <c r="A10">
        <v>50</v>
      </c>
      <c r="B10" s="5"/>
      <c r="D10">
        <v>1.37231900559378</v>
      </c>
      <c r="E10">
        <v>9.8135892237590492E-4</v>
      </c>
      <c r="F10">
        <v>1.3754575654543499</v>
      </c>
      <c r="G10">
        <v>7.1929329253824501E-4</v>
      </c>
      <c r="H10" s="10">
        <f>F10/D10</f>
        <v>1.002287048308576</v>
      </c>
      <c r="I10">
        <f t="shared" si="0"/>
        <v>8.8794780325578441E-4</v>
      </c>
      <c r="J10" s="4"/>
      <c r="M10">
        <v>1.3711659238629099</v>
      </c>
      <c r="N10" s="10" t="e">
        <f t="shared" si="1"/>
        <v>#DIV/0!</v>
      </c>
      <c r="O10" s="10"/>
    </row>
    <row r="11" spans="1:15" s="4" customFormat="1" x14ac:dyDescent="0.3">
      <c r="A11">
        <v>75</v>
      </c>
      <c r="B11" s="5"/>
      <c r="C11"/>
      <c r="D11">
        <v>1.3652125452841399</v>
      </c>
      <c r="E11">
        <v>9.36891207849102E-4</v>
      </c>
      <c r="F11">
        <v>1.37040384545697</v>
      </c>
      <c r="G11">
        <v>1.1043763633645899E-3</v>
      </c>
      <c r="H11" s="10">
        <f>F11/D11</f>
        <v>1.0038025582102672</v>
      </c>
      <c r="I11">
        <f t="shared" si="0"/>
        <v>1.0625098571799413E-3</v>
      </c>
      <c r="K11"/>
      <c r="L11"/>
      <c r="M11">
        <v>1.36351969550464</v>
      </c>
      <c r="N11" s="10" t="e">
        <f t="shared" si="1"/>
        <v>#DIV/0!</v>
      </c>
      <c r="O11" s="11"/>
    </row>
    <row r="12" spans="1:15" x14ac:dyDescent="0.3">
      <c r="A12">
        <v>100</v>
      </c>
      <c r="B12" s="5"/>
      <c r="D12">
        <v>1.35996558693921</v>
      </c>
      <c r="E12">
        <v>8.2269713778889005E-4</v>
      </c>
      <c r="F12">
        <v>1.3649754350071801</v>
      </c>
      <c r="G12">
        <v>1.0934621564654399E-3</v>
      </c>
      <c r="H12" s="10">
        <f>F12/D12</f>
        <v>1.0036838050286592</v>
      </c>
      <c r="I12">
        <f t="shared" si="0"/>
        <v>1.0075356465859516E-3</v>
      </c>
      <c r="J12" s="4"/>
      <c r="M12">
        <v>1.35608844560886</v>
      </c>
      <c r="N12" s="10" t="e">
        <f t="shared" si="1"/>
        <v>#DIV/0!</v>
      </c>
      <c r="O12" s="10"/>
    </row>
    <row r="13" spans="1:15" x14ac:dyDescent="0.3">
      <c r="A13">
        <v>150</v>
      </c>
      <c r="B13" s="5"/>
      <c r="D13">
        <v>1.3471169036955299</v>
      </c>
      <c r="E13">
        <v>3.4192473007070602E-3</v>
      </c>
      <c r="F13">
        <v>1.35044101904588</v>
      </c>
      <c r="G13">
        <v>3.6209913911154899E-3</v>
      </c>
      <c r="H13" s="10">
        <f>F13/D13</f>
        <v>1.002467577491776</v>
      </c>
      <c r="I13">
        <f t="shared" si="0"/>
        <v>3.7012678767904027E-3</v>
      </c>
      <c r="J13" s="4"/>
      <c r="M13">
        <v>1.3448593643039499</v>
      </c>
      <c r="N13" s="10" t="e">
        <f t="shared" si="1"/>
        <v>#DIV/0!</v>
      </c>
      <c r="O13" s="10"/>
    </row>
    <row r="14" spans="1:15" s="4" customFormat="1" x14ac:dyDescent="0.3">
      <c r="A14">
        <v>250</v>
      </c>
      <c r="B14" s="5"/>
      <c r="C14"/>
      <c r="D14">
        <v>1.3301704109246899</v>
      </c>
      <c r="E14">
        <v>2.6701333301032298E-3</v>
      </c>
      <c r="F14">
        <v>1.3309639224463901</v>
      </c>
      <c r="G14">
        <v>2.6466416072152398E-3</v>
      </c>
      <c r="H14" s="10">
        <f>F14/D14</f>
        <v>1.000596548769378</v>
      </c>
      <c r="I14">
        <f t="shared" si="0"/>
        <v>2.8272285541985462E-3</v>
      </c>
      <c r="K14"/>
      <c r="L14"/>
      <c r="M14">
        <v>1.3096995917960299</v>
      </c>
      <c r="N14" s="10" t="e">
        <f t="shared" si="1"/>
        <v>#DIV/0!</v>
      </c>
      <c r="O14" s="11"/>
    </row>
    <row r="15" spans="1:15" x14ac:dyDescent="0.3">
      <c r="A15">
        <v>500</v>
      </c>
      <c r="B15" s="5"/>
      <c r="D15">
        <v>1.2881810524951001</v>
      </c>
      <c r="E15">
        <v>2.82817615567389E-3</v>
      </c>
      <c r="F15">
        <v>1.2901507582212099</v>
      </c>
      <c r="G15">
        <v>3.6382982434454399E-3</v>
      </c>
      <c r="H15" s="10">
        <f>F15/D15</f>
        <v>1.0015290596941282</v>
      </c>
      <c r="I15">
        <f t="shared" si="0"/>
        <v>3.579377630249193E-3</v>
      </c>
      <c r="J15" s="4"/>
      <c r="M15">
        <v>1.2497624884637799</v>
      </c>
      <c r="N15" s="10" t="e">
        <f t="shared" si="1"/>
        <v>#DIV/0!</v>
      </c>
      <c r="O15" s="10"/>
    </row>
    <row r="16" spans="1:15" s="4" customFormat="1" x14ac:dyDescent="0.3">
      <c r="A16">
        <v>750</v>
      </c>
      <c r="B16" s="5"/>
      <c r="C16"/>
      <c r="D16">
        <v>1.24999214529804</v>
      </c>
      <c r="E16">
        <v>2.36320017159778E-3</v>
      </c>
      <c r="F16">
        <v>1.2537253487050199</v>
      </c>
      <c r="G16">
        <v>3.5797440463882701E-3</v>
      </c>
      <c r="H16" s="10">
        <f>F16/D16</f>
        <v>1.0029865814925498</v>
      </c>
      <c r="I16">
        <f t="shared" si="0"/>
        <v>3.4346863492251559E-3</v>
      </c>
      <c r="K16"/>
      <c r="L16"/>
      <c r="M16">
        <v>1.20221749175355</v>
      </c>
      <c r="N16" s="10" t="e">
        <f t="shared" si="1"/>
        <v>#DIV/0!</v>
      </c>
      <c r="O16" s="11"/>
    </row>
    <row r="17" spans="1:15" x14ac:dyDescent="0.3">
      <c r="A17">
        <v>999.99</v>
      </c>
      <c r="B17" s="5"/>
      <c r="D17">
        <v>1.2159170927577201</v>
      </c>
      <c r="E17">
        <v>3.1109769949112399E-3</v>
      </c>
      <c r="F17">
        <v>1.2163442531022399</v>
      </c>
      <c r="G17">
        <v>3.18424238805618E-3</v>
      </c>
      <c r="H17" s="10">
        <f>F17/D17</f>
        <v>1.0003513071302839</v>
      </c>
      <c r="I17">
        <f>H17*((E17/D17)^2 +(G17/F17)^2)^0.5</f>
        <v>3.6618101886275135E-3</v>
      </c>
      <c r="J17" s="4"/>
      <c r="M17">
        <v>1.1524770375920901</v>
      </c>
      <c r="N17" s="10" t="e">
        <f t="shared" si="1"/>
        <v>#DIV/0!</v>
      </c>
      <c r="O17" s="10"/>
    </row>
    <row r="21" spans="1:15" x14ac:dyDescent="0.3">
      <c r="C21" s="12" t="s">
        <v>5</v>
      </c>
      <c r="D21" s="12"/>
      <c r="E21" s="12"/>
      <c r="F21" s="13"/>
      <c r="G21" s="13"/>
      <c r="H21" s="13"/>
      <c r="I21" s="13"/>
      <c r="K21" s="2"/>
      <c r="L21" s="2"/>
      <c r="M21" s="2"/>
      <c r="N21" s="2"/>
    </row>
    <row r="22" spans="1:15" x14ac:dyDescent="0.3">
      <c r="C22" s="3" t="s">
        <v>4</v>
      </c>
      <c r="D22" s="3"/>
      <c r="E22" s="3"/>
      <c r="F22" s="9"/>
      <c r="G22" s="9"/>
      <c r="H22" s="9"/>
      <c r="I22" s="3"/>
      <c r="K22" s="3" t="s">
        <v>3</v>
      </c>
      <c r="L22" s="3"/>
      <c r="M22" s="9"/>
      <c r="N22" s="9"/>
      <c r="O22" s="3"/>
    </row>
    <row r="23" spans="1:15" x14ac:dyDescent="0.3">
      <c r="A23" s="6" t="s">
        <v>0</v>
      </c>
      <c r="B23" s="6"/>
      <c r="C23" s="6" t="s">
        <v>1</v>
      </c>
      <c r="D23" s="6" t="s">
        <v>7</v>
      </c>
      <c r="E23" s="6" t="s">
        <v>11</v>
      </c>
      <c r="F23" s="6" t="s">
        <v>6</v>
      </c>
      <c r="G23" s="6" t="s">
        <v>12</v>
      </c>
      <c r="H23" s="7" t="s">
        <v>8</v>
      </c>
      <c r="I23" s="7" t="s">
        <v>13</v>
      </c>
      <c r="J23" s="8"/>
      <c r="K23" s="6" t="s">
        <v>1</v>
      </c>
      <c r="L23" s="6" t="s">
        <v>7</v>
      </c>
      <c r="M23" s="6" t="s">
        <v>6</v>
      </c>
      <c r="N23" s="7" t="s">
        <v>8</v>
      </c>
      <c r="O23" s="7"/>
    </row>
    <row r="24" spans="1:15" x14ac:dyDescent="0.3">
      <c r="A24">
        <v>0.1</v>
      </c>
      <c r="B24" s="5"/>
      <c r="C24" s="2"/>
      <c r="D24" s="2">
        <v>3.4601339198647797E-5</v>
      </c>
      <c r="E24" s="16">
        <v>1.22883732368375E-8</v>
      </c>
      <c r="F24" s="16">
        <v>2.3188386654289999E-5</v>
      </c>
      <c r="G24" s="16">
        <v>2.5713213345718999E-7</v>
      </c>
      <c r="H24" s="10">
        <f>F24/D24</f>
        <v>0.67015864678428949</v>
      </c>
      <c r="I24">
        <f>H24*((E24/D24)^2 +(G24/F24)^2)^0.5</f>
        <v>7.4350871718769813E-3</v>
      </c>
      <c r="J24" s="4"/>
      <c r="K24" s="2"/>
      <c r="L24" s="2"/>
      <c r="M24" s="2">
        <v>2.5899175434190999E-5</v>
      </c>
      <c r="N24" s="10" t="e">
        <f>M24/L24</f>
        <v>#DIV/0!</v>
      </c>
      <c r="O24" s="10"/>
    </row>
    <row r="25" spans="1:15" x14ac:dyDescent="0.3">
      <c r="A25">
        <v>0.5</v>
      </c>
      <c r="B25" s="5"/>
      <c r="D25">
        <v>1.7267075850167999E-4</v>
      </c>
      <c r="E25" s="16">
        <v>7.3730405114227898E-8</v>
      </c>
      <c r="F25" s="16">
        <v>1.16379113471186E-4</v>
      </c>
      <c r="G25" s="16">
        <v>4.9685826902563597E-7</v>
      </c>
      <c r="H25" s="10">
        <f>F25/D25</f>
        <v>0.67399433743759052</v>
      </c>
      <c r="I25">
        <f t="shared" ref="I25:I35" si="2">H25*((E25/D25)^2 +(G25/F25)^2)^0.5</f>
        <v>2.8918456475792078E-3</v>
      </c>
      <c r="J25" s="4"/>
      <c r="M25">
        <v>1.3026224043386099E-4</v>
      </c>
      <c r="N25" s="10" t="e">
        <f t="shared" ref="N25:N36" si="3">M25/L25</f>
        <v>#DIV/0!</v>
      </c>
      <c r="O25" s="10"/>
    </row>
    <row r="26" spans="1:15" x14ac:dyDescent="0.3">
      <c r="A26">
        <v>1</v>
      </c>
      <c r="B26" s="5"/>
      <c r="D26">
        <v>3.4444202449192702E-4</v>
      </c>
      <c r="E26" s="16">
        <v>1.02701859340892E-7</v>
      </c>
      <c r="F26" s="16">
        <v>2.31665379952172E-4</v>
      </c>
      <c r="G26" s="16">
        <v>6.9232886194979901E-7</v>
      </c>
      <c r="H26" s="10">
        <f>F26/D26</f>
        <v>0.67258163487423628</v>
      </c>
      <c r="I26">
        <f t="shared" si="2"/>
        <v>2.0199806972425911E-3</v>
      </c>
      <c r="J26" s="4"/>
      <c r="M26">
        <v>2.6089565621297098E-4</v>
      </c>
      <c r="N26" s="10" t="e">
        <f t="shared" si="3"/>
        <v>#DIV/0!</v>
      </c>
      <c r="O26" s="10"/>
    </row>
    <row r="27" spans="1:15" x14ac:dyDescent="0.3">
      <c r="A27">
        <v>10</v>
      </c>
      <c r="B27" s="5"/>
      <c r="D27">
        <v>3.33054467027722E-3</v>
      </c>
      <c r="E27" s="16">
        <v>3.1023196230951202E-6</v>
      </c>
      <c r="F27" s="16">
        <v>2.3274949085023899E-3</v>
      </c>
      <c r="G27" s="16">
        <v>7.3576810457546899E-6</v>
      </c>
      <c r="H27" s="10">
        <f>F27/D27</f>
        <v>0.69883311557825745</v>
      </c>
      <c r="I27">
        <f t="shared" si="2"/>
        <v>2.3030599218682355E-3</v>
      </c>
      <c r="J27" s="4"/>
      <c r="M27">
        <v>2.5949076799098498E-3</v>
      </c>
      <c r="N27" s="10" t="e">
        <f t="shared" si="3"/>
        <v>#DIV/0!</v>
      </c>
      <c r="O27" s="10"/>
    </row>
    <row r="28" spans="1:15" x14ac:dyDescent="0.3">
      <c r="A28">
        <v>25</v>
      </c>
      <c r="B28" s="5"/>
      <c r="D28">
        <v>7.9007108136224906E-3</v>
      </c>
      <c r="E28" s="16">
        <v>2.1579374269995798E-5</v>
      </c>
      <c r="F28" s="16">
        <v>5.7868683352336496E-3</v>
      </c>
      <c r="G28" s="16">
        <v>2.2153397083295701E-5</v>
      </c>
      <c r="H28" s="10">
        <f>F28/D28</f>
        <v>0.73244907600666376</v>
      </c>
      <c r="I28">
        <f t="shared" si="2"/>
        <v>3.444486925796071E-3</v>
      </c>
      <c r="J28" s="4"/>
      <c r="M28">
        <v>6.4419405380797103E-3</v>
      </c>
      <c r="N28" s="10" t="e">
        <f t="shared" si="3"/>
        <v>#DIV/0!</v>
      </c>
      <c r="O28" s="11"/>
    </row>
    <row r="29" spans="1:15" x14ac:dyDescent="0.3">
      <c r="A29">
        <v>50</v>
      </c>
      <c r="B29" s="5"/>
      <c r="D29">
        <v>1.48099690035684E-2</v>
      </c>
      <c r="E29" s="16">
        <v>3.5619384608241799E-5</v>
      </c>
      <c r="F29" s="16">
        <v>1.1357972286110201E-2</v>
      </c>
      <c r="G29" s="16">
        <v>3.9960656049596501E-5</v>
      </c>
      <c r="H29" s="10">
        <f>F29/D29</f>
        <v>0.76691398093902452</v>
      </c>
      <c r="I29">
        <f t="shared" si="2"/>
        <v>3.2684265997479276E-3</v>
      </c>
      <c r="J29" s="4"/>
      <c r="M29">
        <v>1.26690225425122E-2</v>
      </c>
      <c r="N29" s="10" t="e">
        <f t="shared" si="3"/>
        <v>#DIV/0!</v>
      </c>
      <c r="O29" s="10"/>
    </row>
    <row r="30" spans="1:15" x14ac:dyDescent="0.3">
      <c r="A30">
        <v>75</v>
      </c>
      <c r="B30" s="5"/>
      <c r="D30">
        <v>2.1060130702738999E-2</v>
      </c>
      <c r="E30" s="16">
        <v>3.0830038687911403E-5</v>
      </c>
      <c r="F30" s="16">
        <v>1.6724313084056999E-2</v>
      </c>
      <c r="G30" s="16">
        <v>4.6773312275541899E-5</v>
      </c>
      <c r="H30" s="10">
        <f>F30/D30</f>
        <v>0.79412199858198884</v>
      </c>
      <c r="I30">
        <f t="shared" si="2"/>
        <v>2.506797039006772E-3</v>
      </c>
      <c r="J30" s="4"/>
      <c r="M30">
        <v>1.8873120984925901E-2</v>
      </c>
      <c r="N30" s="10" t="e">
        <f t="shared" si="3"/>
        <v>#DIV/0!</v>
      </c>
      <c r="O30" s="11"/>
    </row>
    <row r="31" spans="1:15" x14ac:dyDescent="0.3">
      <c r="A31">
        <v>100</v>
      </c>
      <c r="B31" s="5"/>
      <c r="D31">
        <v>2.67600755292417E-2</v>
      </c>
      <c r="E31" s="16">
        <v>6.1301138330409899E-5</v>
      </c>
      <c r="F31" s="16">
        <v>2.2149757308928399E-2</v>
      </c>
      <c r="G31" s="16">
        <v>5.1020148947823797E-5</v>
      </c>
      <c r="H31" s="10">
        <f>F31/D31</f>
        <v>0.82771654679092965</v>
      </c>
      <c r="I31">
        <f t="shared" si="2"/>
        <v>2.6889139523652702E-3</v>
      </c>
      <c r="J31" s="4"/>
      <c r="M31">
        <v>2.4681477633588599E-2</v>
      </c>
      <c r="N31" s="10" t="e">
        <f t="shared" si="3"/>
        <v>#DIV/0!</v>
      </c>
      <c r="O31" s="10"/>
    </row>
    <row r="32" spans="1:15" x14ac:dyDescent="0.3">
      <c r="A32">
        <v>150</v>
      </c>
      <c r="B32" s="5"/>
      <c r="D32">
        <v>3.6782709718709998E-2</v>
      </c>
      <c r="E32" s="16">
        <v>1.97489580151579E-4</v>
      </c>
      <c r="F32" s="16">
        <v>3.2103137598192298E-2</v>
      </c>
      <c r="G32" s="16">
        <v>2.08831333646651E-4</v>
      </c>
      <c r="H32" s="10">
        <f>F32/D32</f>
        <v>0.87277793951821403</v>
      </c>
      <c r="I32">
        <f t="shared" si="2"/>
        <v>7.3615233968889766E-3</v>
      </c>
      <c r="J32" s="4"/>
      <c r="M32">
        <v>3.6134840661020101E-2</v>
      </c>
      <c r="N32" s="10" t="e">
        <f t="shared" si="3"/>
        <v>#DIV/0!</v>
      </c>
      <c r="O32" s="10"/>
    </row>
    <row r="33" spans="1:15" x14ac:dyDescent="0.3">
      <c r="A33">
        <v>250</v>
      </c>
      <c r="B33" s="5"/>
      <c r="D33">
        <v>5.6309750104400702E-2</v>
      </c>
      <c r="E33" s="16">
        <v>2.51687827781958E-4</v>
      </c>
      <c r="F33" s="16">
        <v>5.1114734736025402E-2</v>
      </c>
      <c r="G33" s="16">
        <v>2.8833834514146198E-4</v>
      </c>
      <c r="H33" s="10">
        <f>F33/D33</f>
        <v>0.90774216971761523</v>
      </c>
      <c r="I33">
        <f t="shared" si="2"/>
        <v>6.5331679556135417E-3</v>
      </c>
      <c r="J33" s="4"/>
      <c r="M33">
        <v>5.7361502212218099E-2</v>
      </c>
      <c r="N33" s="10" t="e">
        <f t="shared" si="3"/>
        <v>#DIV/0!</v>
      </c>
      <c r="O33" s="11"/>
    </row>
    <row r="34" spans="1:15" x14ac:dyDescent="0.3">
      <c r="A34">
        <v>500</v>
      </c>
      <c r="B34" s="5"/>
      <c r="D34">
        <v>9.4384365104793602E-2</v>
      </c>
      <c r="E34" s="16">
        <v>3.7802904257795602E-4</v>
      </c>
      <c r="F34" s="16">
        <v>9.1445222619505398E-2</v>
      </c>
      <c r="G34" s="16">
        <v>4.4906828447954003E-4</v>
      </c>
      <c r="H34" s="10">
        <f>F34/D34</f>
        <v>0.96885985849430767</v>
      </c>
      <c r="I34">
        <f t="shared" si="2"/>
        <v>6.1396636178584303E-3</v>
      </c>
      <c r="J34" s="4"/>
      <c r="M34">
        <v>0.102092586065974</v>
      </c>
      <c r="N34" s="10" t="e">
        <f t="shared" si="3"/>
        <v>#DIV/0!</v>
      </c>
      <c r="O34" s="10"/>
    </row>
    <row r="35" spans="1:15" x14ac:dyDescent="0.3">
      <c r="A35">
        <v>750</v>
      </c>
      <c r="B35" s="5"/>
      <c r="D35">
        <v>0.12681392305883499</v>
      </c>
      <c r="E35" s="16">
        <v>3.7117560576619898E-4</v>
      </c>
      <c r="F35" s="16">
        <v>0.12725844081883</v>
      </c>
      <c r="G35" s="16">
        <v>3.9277512684765298E-4</v>
      </c>
      <c r="H35" s="10">
        <f>F35/D35</f>
        <v>1.0035052756769365</v>
      </c>
      <c r="I35">
        <f t="shared" si="2"/>
        <v>4.2684987159538603E-3</v>
      </c>
      <c r="J35" s="4"/>
      <c r="M35">
        <v>0.14105605143254499</v>
      </c>
      <c r="N35" s="10" t="e">
        <f t="shared" si="3"/>
        <v>#DIV/0!</v>
      </c>
      <c r="O35" s="11"/>
    </row>
    <row r="36" spans="1:15" x14ac:dyDescent="0.3">
      <c r="A36">
        <v>999.99</v>
      </c>
      <c r="B36" s="5"/>
      <c r="D36">
        <v>0.15510900896549801</v>
      </c>
      <c r="E36" s="16">
        <v>5.7851797067085496E-4</v>
      </c>
      <c r="F36" s="16">
        <v>0.157583868759714</v>
      </c>
      <c r="G36" s="16">
        <v>5.8700051779191705E-4</v>
      </c>
      <c r="H36" s="10">
        <f>F36/D36</f>
        <v>1.0159556160581653</v>
      </c>
      <c r="I36">
        <f>H36*((E36/D36)^2 +(G36/F36)^2)^0.5</f>
        <v>5.3554157048239367E-3</v>
      </c>
      <c r="J36" s="4"/>
      <c r="M36">
        <v>0.17395996323018501</v>
      </c>
      <c r="N36" s="10" t="e">
        <f t="shared" si="3"/>
        <v>#DIV/0!</v>
      </c>
      <c r="O36" s="10"/>
    </row>
    <row r="40" spans="1:15" x14ac:dyDescent="0.3">
      <c r="C40" s="1" t="s">
        <v>9</v>
      </c>
    </row>
    <row r="41" spans="1:15" x14ac:dyDescent="0.3">
      <c r="C41" s="14" t="s">
        <v>2</v>
      </c>
      <c r="D41" s="14"/>
      <c r="E41" s="14"/>
      <c r="F41" s="15"/>
      <c r="G41" s="15"/>
      <c r="H41" s="15"/>
      <c r="K41" s="2"/>
      <c r="L41" s="2"/>
      <c r="M41" s="2"/>
      <c r="N41" s="2"/>
    </row>
    <row r="42" spans="1:15" x14ac:dyDescent="0.3">
      <c r="C42" s="3" t="s">
        <v>4</v>
      </c>
      <c r="D42" s="3"/>
      <c r="E42" s="3"/>
      <c r="F42" s="9"/>
      <c r="G42" s="9"/>
      <c r="H42" s="9"/>
      <c r="I42" s="3"/>
      <c r="K42" s="3" t="s">
        <v>3</v>
      </c>
      <c r="L42" s="3"/>
      <c r="M42" s="9"/>
      <c r="N42" s="9"/>
    </row>
    <row r="43" spans="1:15" x14ac:dyDescent="0.3">
      <c r="A43" s="6" t="s">
        <v>0</v>
      </c>
      <c r="B43" s="6"/>
      <c r="C43" s="6" t="s">
        <v>1</v>
      </c>
      <c r="D43" s="6" t="s">
        <v>7</v>
      </c>
      <c r="E43" s="6"/>
      <c r="F43" s="6" t="s">
        <v>6</v>
      </c>
      <c r="G43" s="6"/>
      <c r="H43" s="6"/>
      <c r="I43" s="7" t="s">
        <v>8</v>
      </c>
      <c r="J43" s="8"/>
      <c r="K43" s="6" t="s">
        <v>1</v>
      </c>
      <c r="L43" s="6" t="s">
        <v>7</v>
      </c>
      <c r="M43" s="6" t="s">
        <v>6</v>
      </c>
      <c r="N43" s="7" t="s">
        <v>8</v>
      </c>
    </row>
    <row r="44" spans="1:15" x14ac:dyDescent="0.3">
      <c r="A44">
        <v>0.1</v>
      </c>
      <c r="B44" s="5"/>
      <c r="D44">
        <v>1.33146077610654</v>
      </c>
      <c r="F44">
        <v>1.3294682945082299</v>
      </c>
      <c r="I44" s="10">
        <f>F44/D44</f>
        <v>0.9985035371420129</v>
      </c>
      <c r="J44" s="4"/>
      <c r="L44">
        <v>1.33422182541257</v>
      </c>
      <c r="M44">
        <v>1.3288821396550801</v>
      </c>
      <c r="N44" s="10">
        <f>M44/L44</f>
        <v>0.99599790255579224</v>
      </c>
    </row>
    <row r="45" spans="1:15" x14ac:dyDescent="0.3">
      <c r="A45">
        <v>0.5</v>
      </c>
      <c r="B45" s="5"/>
      <c r="D45">
        <v>1.35765661048369</v>
      </c>
      <c r="F45">
        <v>1.3402135659025001</v>
      </c>
      <c r="I45" s="10">
        <f t="shared" ref="I45:I56" si="4">F45/D45</f>
        <v>0.98715209394887005</v>
      </c>
      <c r="J45" s="4"/>
      <c r="K45" s="4"/>
      <c r="L45">
        <v>1.3552315082948401</v>
      </c>
      <c r="M45">
        <v>1.34024384554322</v>
      </c>
      <c r="N45" s="11">
        <f t="shared" ref="N45:N56" si="5">M45/L45</f>
        <v>0.98894088378266998</v>
      </c>
    </row>
    <row r="46" spans="1:15" x14ac:dyDescent="0.3">
      <c r="A46">
        <v>1</v>
      </c>
      <c r="B46" s="5"/>
      <c r="D46">
        <v>1.33903476392587</v>
      </c>
      <c r="F46">
        <v>1.3294539841566</v>
      </c>
      <c r="I46" s="10">
        <f t="shared" si="4"/>
        <v>0.99284501043036377</v>
      </c>
      <c r="J46" s="4"/>
      <c r="L46">
        <v>1.3461367977004299</v>
      </c>
      <c r="M46">
        <v>1.32904261090945</v>
      </c>
      <c r="N46" s="10">
        <f t="shared" si="5"/>
        <v>0.98730130041747499</v>
      </c>
    </row>
    <row r="47" spans="1:15" x14ac:dyDescent="0.3">
      <c r="A47">
        <v>10</v>
      </c>
      <c r="B47" s="5"/>
      <c r="D47">
        <v>1.31789010731641</v>
      </c>
      <c r="F47">
        <v>1.3448930260504799</v>
      </c>
      <c r="I47" s="10">
        <f t="shared" si="4"/>
        <v>1.0204895071175968</v>
      </c>
      <c r="J47" s="4"/>
      <c r="K47" s="4"/>
      <c r="L47">
        <v>1.31846450590491</v>
      </c>
      <c r="M47">
        <v>1.3511493506913199</v>
      </c>
      <c r="N47" s="11">
        <f t="shared" si="5"/>
        <v>1.0247900831914902</v>
      </c>
    </row>
    <row r="48" spans="1:15" x14ac:dyDescent="0.3">
      <c r="A48">
        <v>25</v>
      </c>
      <c r="B48" s="5"/>
      <c r="D48">
        <v>1.32036564820574</v>
      </c>
      <c r="F48">
        <v>1.3268512139816999</v>
      </c>
      <c r="I48" s="10">
        <f t="shared" si="4"/>
        <v>1.0049119467662411</v>
      </c>
      <c r="J48" s="4"/>
      <c r="L48">
        <v>1.33152629750905</v>
      </c>
      <c r="M48">
        <v>1.33015612015508</v>
      </c>
      <c r="N48" s="10">
        <f t="shared" si="5"/>
        <v>0.99897097236717491</v>
      </c>
    </row>
    <row r="49" spans="1:14" x14ac:dyDescent="0.3">
      <c r="A49">
        <v>50</v>
      </c>
      <c r="B49" s="5"/>
      <c r="D49">
        <v>1.3197738196808499</v>
      </c>
      <c r="F49">
        <v>1.3126564921716899</v>
      </c>
      <c r="I49" s="10">
        <f t="shared" si="4"/>
        <v>0.99460716116426584</v>
      </c>
      <c r="J49" s="4"/>
      <c r="K49" s="4"/>
      <c r="L49">
        <v>1.32005527665466</v>
      </c>
      <c r="M49">
        <v>1.30244954906179</v>
      </c>
      <c r="N49" s="11">
        <f t="shared" si="5"/>
        <v>0.98666288608952257</v>
      </c>
    </row>
    <row r="50" spans="1:14" x14ac:dyDescent="0.3">
      <c r="A50">
        <v>75</v>
      </c>
      <c r="B50" s="5"/>
      <c r="D50">
        <v>1.29935652652886</v>
      </c>
      <c r="F50">
        <v>1.32473430230751</v>
      </c>
      <c r="I50" s="10">
        <f t="shared" si="4"/>
        <v>1.0195310334465668</v>
      </c>
      <c r="J50" s="4"/>
      <c r="L50">
        <v>1.30908256842566</v>
      </c>
      <c r="M50">
        <v>1.30672475018709</v>
      </c>
      <c r="N50" s="10">
        <f t="shared" si="5"/>
        <v>0.99819887736996948</v>
      </c>
    </row>
    <row r="51" spans="1:14" x14ac:dyDescent="0.3">
      <c r="A51">
        <v>100</v>
      </c>
      <c r="B51" s="5"/>
      <c r="D51">
        <v>1.33910590256307</v>
      </c>
      <c r="F51">
        <v>1.3167897334910501</v>
      </c>
      <c r="I51" s="10">
        <f t="shared" si="4"/>
        <v>0.98333502299608533</v>
      </c>
      <c r="J51" s="4"/>
      <c r="K51" s="4"/>
      <c r="L51">
        <v>1.3171859836539099</v>
      </c>
      <c r="M51">
        <v>1.31060168409573</v>
      </c>
      <c r="N51" s="11">
        <f t="shared" si="5"/>
        <v>0.99500123775997451</v>
      </c>
    </row>
    <row r="52" spans="1:14" x14ac:dyDescent="0.3">
      <c r="A52">
        <v>150</v>
      </c>
      <c r="B52" s="5"/>
      <c r="D52">
        <v>1.3346899335651701</v>
      </c>
      <c r="F52">
        <v>1.3164282135057199</v>
      </c>
      <c r="I52" s="10">
        <f t="shared" si="4"/>
        <v>0.98631763108404502</v>
      </c>
      <c r="J52" s="4"/>
      <c r="L52">
        <v>1.28924587434467</v>
      </c>
      <c r="M52">
        <v>1.3011790803332</v>
      </c>
      <c r="N52" s="10">
        <f t="shared" si="5"/>
        <v>1.0092559582512495</v>
      </c>
    </row>
    <row r="53" spans="1:14" x14ac:dyDescent="0.3">
      <c r="A53">
        <v>250</v>
      </c>
      <c r="B53" s="5"/>
      <c r="D53">
        <v>1.29678717701069</v>
      </c>
      <c r="F53">
        <v>1.33451901185347</v>
      </c>
      <c r="I53" s="10">
        <f t="shared" si="4"/>
        <v>1.0290963972436542</v>
      </c>
      <c r="J53" s="4"/>
      <c r="K53" s="4"/>
      <c r="L53">
        <v>1.2845821783281699</v>
      </c>
      <c r="M53">
        <v>1.27732476166037</v>
      </c>
      <c r="N53" s="11">
        <f t="shared" si="5"/>
        <v>0.99435036793267273</v>
      </c>
    </row>
    <row r="54" spans="1:14" x14ac:dyDescent="0.3">
      <c r="A54">
        <v>500</v>
      </c>
      <c r="B54" s="5"/>
      <c r="D54">
        <v>1.2662694099393199</v>
      </c>
      <c r="F54">
        <v>1.2620512370753201</v>
      </c>
      <c r="I54" s="10">
        <f t="shared" si="4"/>
        <v>0.99666881879093805</v>
      </c>
      <c r="J54" s="4"/>
      <c r="L54">
        <v>1.2051198250164299</v>
      </c>
      <c r="M54">
        <v>1.19710463230099</v>
      </c>
      <c r="N54" s="10">
        <f t="shared" si="5"/>
        <v>0.99334904915755518</v>
      </c>
    </row>
    <row r="55" spans="1:14" x14ac:dyDescent="0.3">
      <c r="A55">
        <v>750</v>
      </c>
      <c r="B55" s="5"/>
      <c r="D55">
        <v>1.23279071771682</v>
      </c>
      <c r="F55">
        <v>1.23649350366719</v>
      </c>
      <c r="I55" s="10">
        <f t="shared" si="4"/>
        <v>1.0030035803296993</v>
      </c>
      <c r="J55" s="5"/>
      <c r="L55">
        <v>1.1807532343395699</v>
      </c>
      <c r="M55">
        <v>1.1563239206929501</v>
      </c>
      <c r="N55" s="10">
        <f t="shared" si="5"/>
        <v>0.97931039870470149</v>
      </c>
    </row>
    <row r="56" spans="1:14" x14ac:dyDescent="0.3">
      <c r="A56">
        <v>999.99</v>
      </c>
      <c r="B56" s="5"/>
      <c r="D56">
        <v>1.1928852496040101</v>
      </c>
      <c r="F56">
        <v>1.2106403902979499</v>
      </c>
      <c r="I56" s="10">
        <f t="shared" si="4"/>
        <v>1.0148841983751864</v>
      </c>
      <c r="J56" s="5"/>
      <c r="L56">
        <v>1.13357719050286</v>
      </c>
      <c r="M56">
        <v>1.1342010761596699</v>
      </c>
      <c r="N56" s="11">
        <f t="shared" si="5"/>
        <v>1.0005503689224138</v>
      </c>
    </row>
    <row r="59" spans="1:14" x14ac:dyDescent="0.3">
      <c r="C59" s="12" t="s">
        <v>5</v>
      </c>
      <c r="D59" s="12"/>
      <c r="E59" s="12"/>
      <c r="F59" s="13"/>
      <c r="G59" s="13"/>
      <c r="H59" s="13"/>
      <c r="I59" s="13"/>
      <c r="K59" s="2"/>
      <c r="L59" s="2"/>
      <c r="M59" s="2"/>
      <c r="N59" s="2"/>
    </row>
    <row r="60" spans="1:14" x14ac:dyDescent="0.3">
      <c r="C60" s="3" t="s">
        <v>4</v>
      </c>
      <c r="D60" s="3"/>
      <c r="E60" s="3"/>
      <c r="F60" s="9"/>
      <c r="G60" s="9"/>
      <c r="H60" s="9"/>
      <c r="I60" s="3"/>
      <c r="K60" s="3" t="s">
        <v>3</v>
      </c>
      <c r="L60" s="3"/>
      <c r="M60" s="9"/>
      <c r="N60" s="9"/>
    </row>
    <row r="61" spans="1:14" x14ac:dyDescent="0.3">
      <c r="A61" s="6" t="s">
        <v>0</v>
      </c>
      <c r="B61" s="6"/>
      <c r="C61" s="6" t="s">
        <v>1</v>
      </c>
      <c r="D61" s="6" t="s">
        <v>7</v>
      </c>
      <c r="E61" s="6"/>
      <c r="F61" s="6" t="s">
        <v>6</v>
      </c>
      <c r="G61" s="6"/>
      <c r="H61" s="6"/>
      <c r="I61" s="7" t="s">
        <v>8</v>
      </c>
      <c r="J61" s="8"/>
      <c r="K61" s="6" t="s">
        <v>1</v>
      </c>
      <c r="L61" s="6" t="s">
        <v>7</v>
      </c>
      <c r="M61" s="6" t="s">
        <v>6</v>
      </c>
      <c r="N61" s="7" t="s">
        <v>8</v>
      </c>
    </row>
    <row r="62" spans="1:14" x14ac:dyDescent="0.3">
      <c r="A62">
        <v>0.1</v>
      </c>
      <c r="B62" s="5"/>
      <c r="C62" s="2">
        <v>2.0906018648200899E-5</v>
      </c>
      <c r="D62" s="2">
        <v>1.9785240862768899E-5</v>
      </c>
      <c r="E62" s="2"/>
      <c r="F62" s="2">
        <v>1.9417624590728801E-5</v>
      </c>
      <c r="G62" s="2"/>
      <c r="H62" s="2"/>
      <c r="I62" s="10">
        <f>F62/D62</f>
        <v>0.98141967163352228</v>
      </c>
      <c r="J62" s="4"/>
      <c r="K62" s="2"/>
      <c r="L62" s="2">
        <v>2.44555572729164E-5</v>
      </c>
      <c r="M62" s="2">
        <v>2.3173152783100001E-5</v>
      </c>
      <c r="N62" s="10">
        <f>M62/L62</f>
        <v>0.94756183735642718</v>
      </c>
    </row>
    <row r="63" spans="1:14" x14ac:dyDescent="0.3">
      <c r="A63">
        <v>0.5</v>
      </c>
      <c r="B63" s="5"/>
      <c r="C63" s="2">
        <v>3.1327203465188001E-3</v>
      </c>
      <c r="D63">
        <v>1.02051178015395E-4</v>
      </c>
      <c r="F63" s="2">
        <v>9.4705678455829002E-5</v>
      </c>
      <c r="G63" s="2"/>
      <c r="H63" s="2"/>
      <c r="I63" s="10">
        <f t="shared" ref="I63:I74" si="6">F63/D63</f>
        <v>0.92802141334950694</v>
      </c>
      <c r="J63" s="4"/>
      <c r="L63">
        <v>1.237590596311E-4</v>
      </c>
      <c r="M63">
        <v>1.2781285534871299E-4</v>
      </c>
      <c r="N63" s="11">
        <f t="shared" ref="N63:N74" si="7">M63/L63</f>
        <v>1.0327555471873857</v>
      </c>
    </row>
    <row r="64" spans="1:14" x14ac:dyDescent="0.3">
      <c r="A64">
        <v>1</v>
      </c>
      <c r="B64" s="5"/>
      <c r="C64" s="2">
        <v>6.2691724987101998E-3</v>
      </c>
      <c r="D64">
        <v>2.0004896550590901E-4</v>
      </c>
      <c r="F64">
        <v>2.0519183351723301E-4</v>
      </c>
      <c r="I64" s="10">
        <f t="shared" si="6"/>
        <v>1.0257080460192236</v>
      </c>
      <c r="J64" s="4"/>
      <c r="L64">
        <v>2.47009346021372E-4</v>
      </c>
      <c r="M64">
        <v>2.5056736662623701E-4</v>
      </c>
      <c r="N64" s="10">
        <f t="shared" si="7"/>
        <v>1.0144043966844767</v>
      </c>
    </row>
    <row r="65" spans="1:14" x14ac:dyDescent="0.3">
      <c r="A65">
        <v>10</v>
      </c>
      <c r="B65" s="5"/>
      <c r="C65" s="2">
        <v>1.2558983712415E-2</v>
      </c>
      <c r="D65">
        <v>1.9727739159685499E-3</v>
      </c>
      <c r="F65">
        <v>2.1002402963605799E-3</v>
      </c>
      <c r="I65" s="10">
        <f t="shared" si="6"/>
        <v>1.0646127665011473</v>
      </c>
      <c r="J65" s="4"/>
      <c r="L65">
        <v>2.41443999850058E-3</v>
      </c>
      <c r="M65">
        <v>2.5624129143282902E-3</v>
      </c>
      <c r="N65" s="11">
        <f t="shared" si="7"/>
        <v>1.0612866403470804</v>
      </c>
    </row>
    <row r="66" spans="1:14" x14ac:dyDescent="0.3">
      <c r="A66">
        <v>25</v>
      </c>
      <c r="B66" s="5"/>
      <c r="C66" s="2">
        <v>1.8782496824776201E-2</v>
      </c>
      <c r="D66">
        <v>4.9269907229743297E-3</v>
      </c>
      <c r="F66">
        <v>5.2981099306138504E-3</v>
      </c>
      <c r="I66" s="10">
        <f t="shared" si="6"/>
        <v>1.0753237074121145</v>
      </c>
      <c r="J66" s="4"/>
      <c r="L66">
        <v>6.11270182240103E-3</v>
      </c>
      <c r="M66">
        <v>6.4145321839513504E-3</v>
      </c>
      <c r="N66" s="10">
        <f t="shared" si="7"/>
        <v>1.0493775699060295</v>
      </c>
    </row>
    <row r="67" spans="1:14" x14ac:dyDescent="0.3">
      <c r="A67">
        <v>50</v>
      </c>
      <c r="B67" s="5"/>
      <c r="C67" s="2">
        <v>2.51046376970986E-2</v>
      </c>
      <c r="D67">
        <v>9.7820010092556295E-3</v>
      </c>
      <c r="F67">
        <v>1.0195154351149101E-2</v>
      </c>
      <c r="I67" s="10">
        <f t="shared" si="6"/>
        <v>1.0422360763919929</v>
      </c>
      <c r="J67" s="4"/>
      <c r="L67">
        <v>1.20970549355645E-2</v>
      </c>
      <c r="M67">
        <v>1.24175942421624E-2</v>
      </c>
      <c r="N67" s="11">
        <f t="shared" si="7"/>
        <v>1.0264973010625533</v>
      </c>
    </row>
    <row r="68" spans="1:14" x14ac:dyDescent="0.3">
      <c r="A68">
        <v>75</v>
      </c>
      <c r="B68" s="5"/>
      <c r="C68" s="2">
        <v>3.1476119846668899E-2</v>
      </c>
      <c r="D68">
        <v>1.43763436727791E-2</v>
      </c>
      <c r="F68">
        <v>1.5782984835099299E-2</v>
      </c>
      <c r="I68" s="10">
        <f t="shared" si="6"/>
        <v>1.0978441524727602</v>
      </c>
      <c r="J68" s="4"/>
      <c r="L68">
        <v>1.8002551123509802E-2</v>
      </c>
      <c r="M68">
        <v>1.8976376994297401E-2</v>
      </c>
      <c r="N68" s="10">
        <f t="shared" si="7"/>
        <v>1.0540937706054263</v>
      </c>
    </row>
    <row r="69" spans="1:14" x14ac:dyDescent="0.3">
      <c r="A69">
        <v>100</v>
      </c>
      <c r="B69" s="5"/>
      <c r="C69" s="2">
        <v>5.2878603388737497E-2</v>
      </c>
      <c r="D69">
        <v>2.00458898906196E-2</v>
      </c>
      <c r="F69">
        <v>2.0804120655568799E-2</v>
      </c>
      <c r="I69" s="10">
        <f t="shared" si="6"/>
        <v>1.0378247495664441</v>
      </c>
      <c r="J69" s="4"/>
      <c r="L69">
        <v>2.4309982506840501E-2</v>
      </c>
      <c r="M69">
        <v>2.56065505285916E-2</v>
      </c>
      <c r="N69" s="11">
        <f t="shared" si="7"/>
        <v>1.0533347986320543</v>
      </c>
    </row>
    <row r="70" spans="1:14" x14ac:dyDescent="0.3">
      <c r="A70">
        <v>150</v>
      </c>
      <c r="B70" s="5"/>
      <c r="C70" s="2">
        <v>0.107716927588289</v>
      </c>
      <c r="D70">
        <v>3.0432830381329601E-2</v>
      </c>
      <c r="F70">
        <v>3.14434702136525E-2</v>
      </c>
      <c r="I70" s="10">
        <f t="shared" si="6"/>
        <v>1.0332088675177227</v>
      </c>
      <c r="J70" s="4"/>
      <c r="L70">
        <v>3.5308084946377202E-2</v>
      </c>
      <c r="M70">
        <v>3.7911161854217702E-2</v>
      </c>
      <c r="N70" s="10">
        <f t="shared" si="7"/>
        <v>1.0737246699104135</v>
      </c>
    </row>
    <row r="71" spans="1:14" x14ac:dyDescent="0.3">
      <c r="A71">
        <v>250</v>
      </c>
      <c r="B71" s="5"/>
      <c r="C71" s="2">
        <v>0.16515386445267599</v>
      </c>
      <c r="D71">
        <v>4.89210306757277E-2</v>
      </c>
      <c r="F71">
        <v>5.3975920537313898E-2</v>
      </c>
      <c r="I71" s="10">
        <f t="shared" si="6"/>
        <v>1.1033275421994369</v>
      </c>
      <c r="J71" s="4"/>
      <c r="L71">
        <v>5.8808790512075798E-2</v>
      </c>
      <c r="M71">
        <v>6.2265324575410202E-2</v>
      </c>
      <c r="N71" s="11">
        <f t="shared" si="7"/>
        <v>1.0587758060187387</v>
      </c>
    </row>
    <row r="72" spans="1:14" x14ac:dyDescent="0.3">
      <c r="A72">
        <v>500</v>
      </c>
      <c r="B72" s="5"/>
      <c r="C72" s="2">
        <v>0.22114304090137801</v>
      </c>
      <c r="D72">
        <v>9.6226590649767796E-2</v>
      </c>
      <c r="F72">
        <v>0.10212774105006001</v>
      </c>
      <c r="I72" s="10">
        <f t="shared" si="6"/>
        <v>1.0613255687481478</v>
      </c>
      <c r="J72" s="4"/>
      <c r="L72">
        <v>0.11146020972599301</v>
      </c>
      <c r="M72">
        <v>0.118001707852343</v>
      </c>
      <c r="N72" s="10">
        <f t="shared" si="7"/>
        <v>1.0586890886212328</v>
      </c>
    </row>
    <row r="73" spans="1:14" x14ac:dyDescent="0.3">
      <c r="A73">
        <v>750</v>
      </c>
      <c r="B73" s="5"/>
      <c r="D73">
        <v>0.140294088260282</v>
      </c>
      <c r="F73">
        <v>0.15225875418305601</v>
      </c>
      <c r="I73" s="10">
        <f t="shared" si="6"/>
        <v>1.0852827519045309</v>
      </c>
      <c r="J73" s="5"/>
      <c r="L73">
        <v>0.164782092113922</v>
      </c>
      <c r="M73">
        <v>0.171436913407884</v>
      </c>
      <c r="N73" s="11">
        <f t="shared" si="7"/>
        <v>1.0403855856458066</v>
      </c>
    </row>
    <row r="74" spans="1:14" x14ac:dyDescent="0.3">
      <c r="A74">
        <v>999.99</v>
      </c>
      <c r="B74" s="5"/>
      <c r="D74">
        <v>0.181401571560247</v>
      </c>
      <c r="F74">
        <v>0.20058148390920799</v>
      </c>
      <c r="I74" s="10">
        <f t="shared" si="6"/>
        <v>1.1057317871283765</v>
      </c>
      <c r="J74" s="5"/>
      <c r="L74">
        <v>0.211482254080264</v>
      </c>
      <c r="M74">
        <v>0.22688990016688301</v>
      </c>
      <c r="N74" s="10">
        <f t="shared" si="7"/>
        <v>1.0728555034256981</v>
      </c>
    </row>
    <row r="76" spans="1:14" x14ac:dyDescent="0.3">
      <c r="C76" s="12" t="s">
        <v>10</v>
      </c>
      <c r="D76" s="12"/>
      <c r="E76" s="12"/>
      <c r="F76" s="13"/>
      <c r="G76" s="13"/>
      <c r="H76" s="13"/>
      <c r="I76" s="13"/>
      <c r="K76" s="2"/>
      <c r="L76" s="2"/>
      <c r="M76" s="2"/>
      <c r="N76" s="2"/>
    </row>
    <row r="77" spans="1:14" x14ac:dyDescent="0.3">
      <c r="C77" s="3" t="s">
        <v>4</v>
      </c>
      <c r="D77" s="3"/>
      <c r="E77" s="3"/>
      <c r="F77" s="9"/>
      <c r="G77" s="9"/>
      <c r="H77" s="9"/>
      <c r="I77" s="3"/>
      <c r="K77" s="3" t="s">
        <v>3</v>
      </c>
      <c r="L77" s="3"/>
      <c r="M77" s="9"/>
      <c r="N77" s="9"/>
    </row>
    <row r="78" spans="1:14" x14ac:dyDescent="0.3">
      <c r="A78" s="6" t="s">
        <v>0</v>
      </c>
      <c r="B78" s="6"/>
      <c r="C78" s="6" t="s">
        <v>1</v>
      </c>
      <c r="D78" s="6" t="s">
        <v>7</v>
      </c>
      <c r="E78" s="6"/>
      <c r="F78" s="6" t="s">
        <v>6</v>
      </c>
      <c r="G78" s="6"/>
      <c r="H78" s="6"/>
      <c r="I78" s="7" t="s">
        <v>8</v>
      </c>
      <c r="J78" s="8"/>
      <c r="K78" s="6" t="s">
        <v>1</v>
      </c>
      <c r="L78" s="6" t="s">
        <v>7</v>
      </c>
      <c r="M78" s="6" t="s">
        <v>6</v>
      </c>
      <c r="N78" s="7" t="s">
        <v>8</v>
      </c>
    </row>
    <row r="79" spans="1:14" x14ac:dyDescent="0.3">
      <c r="A79">
        <v>0.1</v>
      </c>
      <c r="B79" s="5"/>
      <c r="C79" s="2">
        <v>2.0906018648200899E-5</v>
      </c>
      <c r="D79" s="2">
        <v>2.8143173972499801E-7</v>
      </c>
      <c r="E79" s="2"/>
      <c r="F79" s="2">
        <v>1.46150091119403E-6</v>
      </c>
      <c r="G79" s="2"/>
      <c r="H79" s="2"/>
      <c r="I79" s="10">
        <f t="shared" ref="I79:I90" si="8">I62*((F79/F62)^2 +(D79/D62)^2)^0.5</f>
        <v>7.5175789820697683E-2</v>
      </c>
      <c r="J79" s="4"/>
      <c r="K79" s="2"/>
      <c r="L79" s="2">
        <v>2.4434932696069799E-5</v>
      </c>
      <c r="M79" s="2">
        <v>2.5518609602937599E-5</v>
      </c>
      <c r="N79" s="10">
        <f>M79/L79</f>
        <v>1.0443494942403546</v>
      </c>
    </row>
    <row r="80" spans="1:14" x14ac:dyDescent="0.3">
      <c r="A80">
        <v>0.5</v>
      </c>
      <c r="B80" s="5"/>
      <c r="C80" s="2">
        <v>3.1327203465188001E-3</v>
      </c>
      <c r="D80" s="2">
        <v>1.5222069872849199E-6</v>
      </c>
      <c r="E80" s="2"/>
      <c r="F80" s="2">
        <v>3.7622530224669299E-6</v>
      </c>
      <c r="G80" s="2"/>
      <c r="H80" s="2"/>
      <c r="I80" s="10">
        <f t="shared" si="8"/>
        <v>3.9379446327356661E-2</v>
      </c>
      <c r="J80" s="4"/>
      <c r="L80">
        <v>3.6561489620800698E-3</v>
      </c>
      <c r="M80">
        <v>3.8583728177792702E-3</v>
      </c>
      <c r="N80" s="11">
        <f t="shared" ref="N80:N89" si="9">M80/L80</f>
        <v>1.0553106172085915</v>
      </c>
    </row>
    <row r="81" spans="1:14" x14ac:dyDescent="0.3">
      <c r="A81">
        <v>1</v>
      </c>
      <c r="B81" s="5"/>
      <c r="C81" s="2">
        <v>6.2691724987101998E-3</v>
      </c>
      <c r="D81" s="2">
        <v>2.33807312394273E-6</v>
      </c>
      <c r="E81" s="2"/>
      <c r="F81" s="2">
        <v>6.5127278910264096E-6</v>
      </c>
      <c r="G81" s="2"/>
      <c r="H81" s="2"/>
      <c r="I81" s="10">
        <f t="shared" si="8"/>
        <v>3.4692692812303069E-2</v>
      </c>
      <c r="J81" s="4"/>
      <c r="L81">
        <v>7.3167786817070497E-3</v>
      </c>
      <c r="M81">
        <v>7.7206053021012903E-3</v>
      </c>
      <c r="N81" s="10">
        <f t="shared" si="9"/>
        <v>1.0551918594181156</v>
      </c>
    </row>
    <row r="82" spans="1:14" x14ac:dyDescent="0.3">
      <c r="A82">
        <v>10</v>
      </c>
      <c r="B82" s="5"/>
      <c r="C82" s="2">
        <v>1.2558983712415E-2</v>
      </c>
      <c r="D82" s="2">
        <v>2.7701090496064399E-5</v>
      </c>
      <c r="E82" s="2"/>
      <c r="F82" s="2">
        <v>3.8011060965548303E-5</v>
      </c>
      <c r="G82" s="2"/>
      <c r="H82" s="2"/>
      <c r="I82" s="10">
        <f t="shared" si="8"/>
        <v>2.4386896067040687E-2</v>
      </c>
      <c r="J82" s="4"/>
      <c r="L82">
        <v>1.4655010559957399E-2</v>
      </c>
      <c r="M82">
        <v>1.54708347850845E-2</v>
      </c>
      <c r="N82" s="11">
        <f t="shared" si="9"/>
        <v>1.0556686207621178</v>
      </c>
    </row>
    <row r="83" spans="1:14" x14ac:dyDescent="0.3">
      <c r="A83">
        <v>25</v>
      </c>
      <c r="B83" s="5"/>
      <c r="C83" s="2">
        <v>1.8782496824776201E-2</v>
      </c>
      <c r="D83" s="2">
        <v>8.0985715172972504E-5</v>
      </c>
      <c r="E83" s="2"/>
      <c r="F83" s="2">
        <v>8.2936422592517207E-5</v>
      </c>
      <c r="G83" s="2"/>
      <c r="H83" s="2"/>
      <c r="I83" s="10">
        <f t="shared" si="8"/>
        <v>2.4408348565916203E-2</v>
      </c>
      <c r="J83" s="4"/>
      <c r="L83">
        <v>2.20520227131588E-2</v>
      </c>
      <c r="M83">
        <v>2.3279563002525702E-2</v>
      </c>
      <c r="N83" s="10">
        <f t="shared" si="9"/>
        <v>1.0556656550437167</v>
      </c>
    </row>
    <row r="84" spans="1:14" x14ac:dyDescent="0.3">
      <c r="A84">
        <v>50</v>
      </c>
      <c r="B84" s="5"/>
      <c r="C84" s="2">
        <v>2.51046376970986E-2</v>
      </c>
      <c r="D84">
        <v>1.14857385321631E-4</v>
      </c>
      <c r="F84">
        <v>1.40546480514001E-4</v>
      </c>
      <c r="I84" s="10">
        <f t="shared" si="8"/>
        <v>1.8873133491714433E-2</v>
      </c>
      <c r="J84" s="4"/>
      <c r="L84">
        <v>2.9379142051595902E-2</v>
      </c>
      <c r="M84">
        <v>3.0966693098777899E-2</v>
      </c>
      <c r="N84" s="11">
        <f t="shared" si="9"/>
        <v>1.0540366714723639</v>
      </c>
    </row>
    <row r="85" spans="1:14" x14ac:dyDescent="0.3">
      <c r="A85">
        <v>75</v>
      </c>
      <c r="B85" s="5"/>
      <c r="C85" s="2">
        <v>3.1476119846668899E-2</v>
      </c>
      <c r="D85">
        <v>1.6692001786006801E-4</v>
      </c>
      <c r="F85">
        <v>2.2355768083561999E-4</v>
      </c>
      <c r="I85" s="10">
        <f t="shared" si="8"/>
        <v>2.0107088599017175E-2</v>
      </c>
      <c r="J85" s="4"/>
      <c r="L85">
        <v>3.6804448452257998E-2</v>
      </c>
      <c r="M85">
        <v>3.8844686371276298E-2</v>
      </c>
      <c r="N85" s="10">
        <f t="shared" si="9"/>
        <v>1.0554345467685748</v>
      </c>
    </row>
    <row r="86" spans="1:14" x14ac:dyDescent="0.3">
      <c r="A86">
        <v>100</v>
      </c>
      <c r="B86" s="5"/>
      <c r="C86" s="2">
        <v>5.2878603388737497E-2</v>
      </c>
      <c r="D86">
        <v>2.77931449091848E-4</v>
      </c>
      <c r="F86">
        <v>2.1739476286188801E-4</v>
      </c>
      <c r="I86" s="10">
        <f t="shared" si="8"/>
        <v>1.8018315350781095E-2</v>
      </c>
      <c r="J86" s="4"/>
      <c r="L86">
        <v>6.1567552933483601E-2</v>
      </c>
      <c r="M86">
        <v>6.4958585716827305E-2</v>
      </c>
      <c r="N86" s="11">
        <f t="shared" si="9"/>
        <v>1.0550782453057264</v>
      </c>
    </row>
    <row r="87" spans="1:14" x14ac:dyDescent="0.3">
      <c r="A87">
        <v>150</v>
      </c>
      <c r="B87" s="5"/>
      <c r="C87" s="2">
        <v>0.107716927588289</v>
      </c>
      <c r="D87">
        <v>3.3888866496247497E-4</v>
      </c>
      <c r="F87">
        <v>4.2099807481717899E-4</v>
      </c>
      <c r="I87" s="10">
        <f t="shared" si="8"/>
        <v>1.7992932963347683E-2</v>
      </c>
      <c r="J87" s="4"/>
      <c r="L87">
        <v>0.124585487877085</v>
      </c>
      <c r="M87">
        <v>0.13088073929294</v>
      </c>
      <c r="N87" s="10">
        <f t="shared" si="9"/>
        <v>1.0505295722890764</v>
      </c>
    </row>
    <row r="88" spans="1:14" x14ac:dyDescent="0.3">
      <c r="A88">
        <v>250</v>
      </c>
      <c r="B88" s="5"/>
      <c r="C88" s="2">
        <v>0.16515386445267599</v>
      </c>
      <c r="D88">
        <v>6.0844630496931901E-4</v>
      </c>
      <c r="F88">
        <v>7.1735921087181002E-4</v>
      </c>
      <c r="I88" s="10">
        <f t="shared" si="8"/>
        <v>2.0082997872230529E-2</v>
      </c>
      <c r="J88" s="4"/>
      <c r="L88">
        <v>0.188315720076114</v>
      </c>
      <c r="M88">
        <v>0.19671890522285099</v>
      </c>
      <c r="N88" s="11">
        <f t="shared" si="9"/>
        <v>1.0446228554012409</v>
      </c>
    </row>
    <row r="89" spans="1:14" x14ac:dyDescent="0.3">
      <c r="A89">
        <v>500</v>
      </c>
      <c r="B89" s="5"/>
      <c r="C89" s="2">
        <v>0.22114304090137801</v>
      </c>
      <c r="D89">
        <v>1.3901143553867799E-3</v>
      </c>
      <c r="F89">
        <v>1.45703989958587E-3</v>
      </c>
      <c r="I89" s="10">
        <f t="shared" si="8"/>
        <v>2.1548753693625213E-2</v>
      </c>
      <c r="J89" s="4"/>
      <c r="L89">
        <v>0.25212873564071397</v>
      </c>
      <c r="M89">
        <v>0.26159631710660702</v>
      </c>
      <c r="N89" s="10">
        <f t="shared" si="9"/>
        <v>1.0375505847908761</v>
      </c>
    </row>
    <row r="90" spans="1:14" x14ac:dyDescent="0.3">
      <c r="A90">
        <v>750</v>
      </c>
      <c r="D90">
        <v>1.59024586083695E-3</v>
      </c>
      <c r="F90">
        <v>1.88927153592098E-3</v>
      </c>
      <c r="I90" s="10">
        <f t="shared" si="8"/>
        <v>1.8239532257896197E-2</v>
      </c>
    </row>
    <row r="91" spans="1:14" x14ac:dyDescent="0.3">
      <c r="A91">
        <v>999.99</v>
      </c>
      <c r="D91">
        <v>2.0916951916344802E-3</v>
      </c>
      <c r="F91">
        <v>2.14759074882869E-3</v>
      </c>
      <c r="I91" s="10">
        <f>I74*((F91/F74)^2 +(D91/D74)^2)^0.5</f>
        <v>1.7398828006913617E-2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2026-04-06T11:10:06Z</dcterms:modified>
</cp:coreProperties>
</file>