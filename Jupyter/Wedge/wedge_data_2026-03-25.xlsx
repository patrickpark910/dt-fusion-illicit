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\\wsl.localhost\Ubuntu\home\patri\projects\emma-openmc\Jupyter\Wedge\"/>
    </mc:Choice>
  </mc:AlternateContent>
  <xr:revisionPtr revIDLastSave="0" documentId="13_ncr:1_{D92552F5-14F5-4602-8D22-687681DBA2D8}" xr6:coauthVersionLast="47" xr6:coauthVersionMax="47" xr10:uidLastSave="{00000000-0000-0000-0000-000000000000}"/>
  <bookViews>
    <workbookView xWindow="-108" yWindow="-108" windowWidth="30936" windowHeight="17496" xr2:uid="{00000000-000D-0000-FFFF-FFFF00000000}"/>
  </bookViews>
  <sheets>
    <sheet name="Sheet 1" sheetId="3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7" i="3" l="1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K76" i="3"/>
  <c r="F76" i="3"/>
  <c r="K75" i="3"/>
  <c r="F75" i="3"/>
  <c r="K74" i="3"/>
  <c r="F74" i="3"/>
  <c r="K73" i="3"/>
  <c r="F73" i="3"/>
  <c r="K72" i="3"/>
  <c r="F72" i="3"/>
  <c r="K71" i="3"/>
  <c r="F71" i="3"/>
  <c r="K70" i="3"/>
  <c r="F70" i="3"/>
  <c r="K69" i="3"/>
  <c r="F69" i="3"/>
  <c r="K68" i="3"/>
  <c r="F68" i="3"/>
  <c r="K67" i="3"/>
  <c r="F67" i="3"/>
  <c r="K66" i="3"/>
  <c r="F66" i="3"/>
  <c r="K59" i="3"/>
  <c r="F59" i="3"/>
  <c r="K58" i="3"/>
  <c r="F58" i="3"/>
  <c r="K57" i="3"/>
  <c r="F57" i="3"/>
  <c r="K56" i="3"/>
  <c r="F56" i="3"/>
  <c r="K55" i="3"/>
  <c r="F55" i="3"/>
  <c r="K54" i="3"/>
  <c r="F54" i="3"/>
  <c r="K53" i="3"/>
  <c r="F53" i="3"/>
  <c r="K52" i="3"/>
  <c r="F52" i="3"/>
  <c r="K51" i="3"/>
  <c r="F51" i="3"/>
  <c r="K50" i="3"/>
  <c r="F50" i="3"/>
  <c r="K49" i="3"/>
  <c r="F49" i="3"/>
  <c r="K41" i="3"/>
  <c r="K40" i="3"/>
  <c r="K39" i="3"/>
  <c r="K38" i="3"/>
  <c r="K37" i="3"/>
  <c r="K36" i="3"/>
  <c r="K34" i="3"/>
  <c r="K33" i="3"/>
  <c r="K32" i="3"/>
  <c r="K31" i="3"/>
  <c r="K27" i="3"/>
  <c r="K20" i="3"/>
  <c r="K19" i="3"/>
  <c r="K18" i="3"/>
  <c r="K17" i="3"/>
  <c r="K16" i="3"/>
  <c r="K15" i="3"/>
  <c r="K13" i="3"/>
  <c r="K12" i="3"/>
  <c r="K11" i="3"/>
  <c r="K10" i="3"/>
  <c r="K6" i="3"/>
  <c r="C5" i="3" l="1"/>
  <c r="F41" i="3"/>
  <c r="F40" i="3"/>
  <c r="F39" i="3"/>
  <c r="F38" i="3"/>
  <c r="F37" i="3"/>
  <c r="F36" i="3"/>
  <c r="F34" i="3"/>
  <c r="F33" i="3"/>
  <c r="F32" i="3"/>
  <c r="F31" i="3"/>
  <c r="F27" i="3"/>
  <c r="F6" i="3" l="1"/>
</calcChain>
</file>

<file path=xl/sharedStrings.xml><?xml version="1.0" encoding="utf-8"?>
<sst xmlns="http://schemas.openxmlformats.org/spreadsheetml/2006/main" count="49" uniqueCount="10">
  <si>
    <t>Fertile kg/m3</t>
  </si>
  <si>
    <t>D-shape</t>
  </si>
  <si>
    <t>TRITIUM BREEDING RATIO [ RXNS/SRC-N ]</t>
  </si>
  <si>
    <t>Thorium BISO</t>
  </si>
  <si>
    <t>Uranium BISO</t>
  </si>
  <si>
    <t>FISSILE PRODUCTION RATE [ RXNS/SRC-N ]</t>
  </si>
  <si>
    <t>Wedge-C</t>
  </si>
  <si>
    <t>Wedge-A</t>
  </si>
  <si>
    <t>=C/A</t>
  </si>
  <si>
    <t>DCLL-Greta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</si>
</sst>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0"/>
    <numFmt numFmtId="165" formatCode="0.000000000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rgb="FF00B0F0"/>
      <name val="Calibri"/>
      <family val="2"/>
      <scheme val="minor"/>
    </font>
    <font>
      <sz val="11"/>
      <color rgb="FF00B0F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11" fontId="0" fillId="0" borderId="0" xfId="0" applyNumberFormat="1"/>
    <xf numFmtId="0" fontId="0" fillId="3" borderId="0" xfId="0" applyFill="1"/>
    <xf numFmtId="0" fontId="0" fillId="4" borderId="0" xfId="0" applyFill="1"/>
    <xf numFmtId="11" fontId="0" fillId="4" borderId="0" xfId="0" applyNumberFormat="1" applyFill="1"/>
    <xf numFmtId="0" fontId="1" fillId="2" borderId="0" xfId="0" applyFont="1" applyFill="1"/>
    <xf numFmtId="0" fontId="1" fillId="2" borderId="0" xfId="0" quotePrefix="1" applyFont="1" applyFill="1"/>
    <xf numFmtId="0" fontId="0" fillId="2" borderId="0" xfId="0" applyFill="1"/>
    <xf numFmtId="0" fontId="1" fillId="3" borderId="0" xfId="0" applyFont="1" applyFill="1"/>
    <xf numFmtId="164" fontId="0" fillId="0" borderId="0" xfId="0" applyNumberFormat="1"/>
    <xf numFmtId="164" fontId="0" fillId="4" borderId="0" xfId="0" applyNumberFormat="1" applyFill="1"/>
    <xf numFmtId="11" fontId="2" fillId="0" borderId="0" xfId="0" applyNumberFormat="1" applyFont="1"/>
    <xf numFmtId="0" fontId="3" fillId="0" borderId="0" xfId="0" applyFont="1"/>
    <xf numFmtId="11" fontId="4" fillId="0" borderId="0" xfId="0" applyNumberFormat="1" applyFont="1"/>
    <xf numFmtId="0" fontId="5" fillId="0" borderId="0" xfId="0" applyFont="1"/>
    <xf numFmtId="165" fontId="0" fillId="2" borderId="0" xfId="0" applyNumberFormat="1" applyFill="1"/>
    <xf numFmtId="164" fontId="0" fillId="2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'Sheet 1'!$A$27:$A$41</c:f>
              <c:numCache>
                <c:formatCode>General</c:formatCode>
                <c:ptCount val="15"/>
                <c:pt idx="0">
                  <c:v>0.1</c:v>
                </c:pt>
                <c:pt idx="1">
                  <c:v>0.5</c:v>
                </c:pt>
                <c:pt idx="2">
                  <c:v>1.5</c:v>
                </c:pt>
                <c:pt idx="3">
                  <c:v>10</c:v>
                </c:pt>
                <c:pt idx="4">
                  <c:v>15</c:v>
                </c:pt>
                <c:pt idx="5">
                  <c:v>30</c:v>
                </c:pt>
                <c:pt idx="6">
                  <c:v>60</c:v>
                </c:pt>
                <c:pt idx="7">
                  <c:v>90</c:v>
                </c:pt>
                <c:pt idx="8">
                  <c:v>100</c:v>
                </c:pt>
                <c:pt idx="9">
                  <c:v>120</c:v>
                </c:pt>
                <c:pt idx="10">
                  <c:v>150</c:v>
                </c:pt>
                <c:pt idx="11">
                  <c:v>250</c:v>
                </c:pt>
                <c:pt idx="12">
                  <c:v>500</c:v>
                </c:pt>
                <c:pt idx="13">
                  <c:v>750</c:v>
                </c:pt>
                <c:pt idx="14">
                  <c:v>1000</c:v>
                </c:pt>
              </c:numCache>
            </c:numRef>
          </c:xVal>
          <c:yVal>
            <c:numRef>
              <c:f>'Sheet 1'!$F$27:$F$41</c:f>
              <c:numCache>
                <c:formatCode>0.000000</c:formatCode>
                <c:ptCount val="15"/>
                <c:pt idx="0">
                  <c:v>0.90095484884115951</c:v>
                </c:pt>
                <c:pt idx="4">
                  <c:v>0.98605362776739691</c:v>
                </c:pt>
                <c:pt idx="5">
                  <c:v>0.98894298080377097</c:v>
                </c:pt>
                <c:pt idx="6">
                  <c:v>0.99045126110744741</c:v>
                </c:pt>
                <c:pt idx="7">
                  <c:v>1.0286907074262921</c:v>
                </c:pt>
                <c:pt idx="9">
                  <c:v>1.0109751026946947</c:v>
                </c:pt>
                <c:pt idx="10">
                  <c:v>1.0514992257935214</c:v>
                </c:pt>
                <c:pt idx="11">
                  <c:v>1.0588139493303126</c:v>
                </c:pt>
                <c:pt idx="12">
                  <c:v>1.0670379652207234</c:v>
                </c:pt>
                <c:pt idx="13">
                  <c:v>1.0821051236786146</c:v>
                </c:pt>
                <c:pt idx="14">
                  <c:v>1.0789515024556622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F5A-449C-BA40-26C8A0D4DFC0}"/>
            </c:ext>
          </c:extLst>
        </c:ser>
        <c:ser>
          <c:idx val="1"/>
          <c:order val="1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'Sheet 1'!$A$27:$A$41</c:f>
              <c:numCache>
                <c:formatCode>General</c:formatCode>
                <c:ptCount val="15"/>
                <c:pt idx="0">
                  <c:v>0.1</c:v>
                </c:pt>
                <c:pt idx="1">
                  <c:v>0.5</c:v>
                </c:pt>
                <c:pt idx="2">
                  <c:v>1.5</c:v>
                </c:pt>
                <c:pt idx="3">
                  <c:v>10</c:v>
                </c:pt>
                <c:pt idx="4">
                  <c:v>15</c:v>
                </c:pt>
                <c:pt idx="5">
                  <c:v>30</c:v>
                </c:pt>
                <c:pt idx="6">
                  <c:v>60</c:v>
                </c:pt>
                <c:pt idx="7">
                  <c:v>90</c:v>
                </c:pt>
                <c:pt idx="8">
                  <c:v>100</c:v>
                </c:pt>
                <c:pt idx="9">
                  <c:v>120</c:v>
                </c:pt>
                <c:pt idx="10">
                  <c:v>150</c:v>
                </c:pt>
                <c:pt idx="11">
                  <c:v>250</c:v>
                </c:pt>
                <c:pt idx="12">
                  <c:v>500</c:v>
                </c:pt>
                <c:pt idx="13">
                  <c:v>750</c:v>
                </c:pt>
                <c:pt idx="14">
                  <c:v>1000</c:v>
                </c:pt>
              </c:numCache>
            </c:numRef>
          </c:xVal>
          <c:yVal>
            <c:numRef>
              <c:f>'Sheet 1'!$K$27:$K$41</c:f>
              <c:numCache>
                <c:formatCode>0.000000</c:formatCode>
                <c:ptCount val="15"/>
                <c:pt idx="0">
                  <c:v>1.0035506001332684</c:v>
                </c:pt>
                <c:pt idx="4">
                  <c:v>1.0779572449118415</c:v>
                </c:pt>
                <c:pt idx="5">
                  <c:v>1.0206668727246053</c:v>
                </c:pt>
                <c:pt idx="6">
                  <c:v>1.0298609475740441</c:v>
                </c:pt>
                <c:pt idx="7">
                  <c:v>1.0714308642620487</c:v>
                </c:pt>
                <c:pt idx="9">
                  <c:v>1.0452657339217364</c:v>
                </c:pt>
                <c:pt idx="10">
                  <c:v>1.0670489493344424</c:v>
                </c:pt>
                <c:pt idx="11">
                  <c:v>1.0639924185567</c:v>
                </c:pt>
                <c:pt idx="12">
                  <c:v>1.0846944326462025</c:v>
                </c:pt>
                <c:pt idx="13">
                  <c:v>1.0956277405879706</c:v>
                </c:pt>
                <c:pt idx="14">
                  <c:v>1.0707528532565391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F5A-449C-BA40-26C8A0D4DF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3801328"/>
        <c:axId val="1647516927"/>
      </c:scatterChart>
      <c:valAx>
        <c:axId val="1393801328"/>
        <c:scaling>
          <c:orientation val="minMax"/>
          <c:max val="101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47516927"/>
        <c:crosses val="autoZero"/>
        <c:crossBetween val="midCat"/>
      </c:valAx>
      <c:valAx>
        <c:axId val="16475169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380132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intercept val="1"/>
            <c:dispRSqr val="1"/>
            <c:dispEq val="1"/>
            <c:trendlineLbl>
              <c:layout>
                <c:manualLayout>
                  <c:x val="0.11546806649168855"/>
                  <c:y val="0.18222626017901614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'Sheet 1'!$A$6:$A$20</c:f>
              <c:numCache>
                <c:formatCode>General</c:formatCode>
                <c:ptCount val="15"/>
                <c:pt idx="0">
                  <c:v>0.1</c:v>
                </c:pt>
                <c:pt idx="1">
                  <c:v>0.5</c:v>
                </c:pt>
                <c:pt idx="2">
                  <c:v>1.5</c:v>
                </c:pt>
                <c:pt idx="3">
                  <c:v>10</c:v>
                </c:pt>
                <c:pt idx="4">
                  <c:v>15</c:v>
                </c:pt>
                <c:pt idx="5">
                  <c:v>30</c:v>
                </c:pt>
                <c:pt idx="6">
                  <c:v>60</c:v>
                </c:pt>
                <c:pt idx="7">
                  <c:v>90</c:v>
                </c:pt>
                <c:pt idx="8">
                  <c:v>100</c:v>
                </c:pt>
                <c:pt idx="9">
                  <c:v>120</c:v>
                </c:pt>
                <c:pt idx="10">
                  <c:v>150</c:v>
                </c:pt>
                <c:pt idx="11">
                  <c:v>250</c:v>
                </c:pt>
                <c:pt idx="12">
                  <c:v>500</c:v>
                </c:pt>
                <c:pt idx="13">
                  <c:v>750</c:v>
                </c:pt>
                <c:pt idx="14">
                  <c:v>999.99</c:v>
                </c:pt>
              </c:numCache>
            </c:numRef>
          </c:xVal>
          <c:yVal>
            <c:numRef>
              <c:f>'Sheet 1'!$F$6:$F$20</c:f>
              <c:numCache>
                <c:formatCode>0.000000</c:formatCode>
                <c:ptCount val="15"/>
                <c:pt idx="0">
                  <c:v>1.0120583199660715</c:v>
                </c:pt>
                <c:pt idx="1">
                  <c:v>0.98723674640081305</c:v>
                </c:pt>
                <c:pt idx="2">
                  <c:v>0.97352011835670349</c:v>
                </c:pt>
                <c:pt idx="3">
                  <c:v>0.98670947182667379</c:v>
                </c:pt>
                <c:pt idx="4">
                  <c:v>1.0274179661023068</c:v>
                </c:pt>
                <c:pt idx="5">
                  <c:v>0.9995818870330847</c:v>
                </c:pt>
                <c:pt idx="6">
                  <c:v>1.0035538292803527</c:v>
                </c:pt>
                <c:pt idx="7">
                  <c:v>1.0225693897940391</c:v>
                </c:pt>
                <c:pt idx="8">
                  <c:v>1.0133855529616367</c:v>
                </c:pt>
                <c:pt idx="9">
                  <c:v>1.0168926589087053</c:v>
                </c:pt>
                <c:pt idx="10">
                  <c:v>1.0023371440138709</c:v>
                </c:pt>
                <c:pt idx="11">
                  <c:v>0.99143857028386306</c:v>
                </c:pt>
                <c:pt idx="12">
                  <c:v>0.99628894469879192</c:v>
                </c:pt>
                <c:pt idx="13">
                  <c:v>1.0133076136706871</c:v>
                </c:pt>
                <c:pt idx="14">
                  <c:v>0.98894242420015732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D61-4DCE-9286-72E05B5CD6AC}"/>
            </c:ext>
          </c:extLst>
        </c:ser>
        <c:ser>
          <c:idx val="1"/>
          <c:order val="1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intercept val="1"/>
            <c:dispRSqr val="1"/>
            <c:dispEq val="1"/>
            <c:trendlineLbl>
              <c:layout>
                <c:manualLayout>
                  <c:x val="-0.14286526684164486"/>
                  <c:y val="-1.1164529914529915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'Sheet 1'!$A$6:$A$20</c:f>
              <c:numCache>
                <c:formatCode>General</c:formatCode>
                <c:ptCount val="15"/>
                <c:pt idx="0">
                  <c:v>0.1</c:v>
                </c:pt>
                <c:pt idx="1">
                  <c:v>0.5</c:v>
                </c:pt>
                <c:pt idx="2">
                  <c:v>1.5</c:v>
                </c:pt>
                <c:pt idx="3">
                  <c:v>10</c:v>
                </c:pt>
                <c:pt idx="4">
                  <c:v>15</c:v>
                </c:pt>
                <c:pt idx="5">
                  <c:v>30</c:v>
                </c:pt>
                <c:pt idx="6">
                  <c:v>60</c:v>
                </c:pt>
                <c:pt idx="7">
                  <c:v>90</c:v>
                </c:pt>
                <c:pt idx="8">
                  <c:v>100</c:v>
                </c:pt>
                <c:pt idx="9">
                  <c:v>120</c:v>
                </c:pt>
                <c:pt idx="10">
                  <c:v>150</c:v>
                </c:pt>
                <c:pt idx="11">
                  <c:v>250</c:v>
                </c:pt>
                <c:pt idx="12">
                  <c:v>500</c:v>
                </c:pt>
                <c:pt idx="13">
                  <c:v>750</c:v>
                </c:pt>
                <c:pt idx="14">
                  <c:v>999.99</c:v>
                </c:pt>
              </c:numCache>
            </c:numRef>
          </c:xVal>
          <c:yVal>
            <c:numRef>
              <c:f>'Sheet 1'!$K$6:$K$20</c:f>
              <c:numCache>
                <c:formatCode>0.000000</c:formatCode>
                <c:ptCount val="15"/>
                <c:pt idx="0">
                  <c:v>1.0124595607074192</c:v>
                </c:pt>
                <c:pt idx="4">
                  <c:v>1.0246126531897757</c:v>
                </c:pt>
                <c:pt idx="5">
                  <c:v>0.99123212311197628</c:v>
                </c:pt>
                <c:pt idx="6">
                  <c:v>1.0019803232436455</c:v>
                </c:pt>
                <c:pt idx="7">
                  <c:v>1.0235838898658773</c:v>
                </c:pt>
                <c:pt idx="9">
                  <c:v>0.99238859087523068</c:v>
                </c:pt>
                <c:pt idx="10">
                  <c:v>1.0068419602917082</c:v>
                </c:pt>
                <c:pt idx="11">
                  <c:v>1.0041778550412717</c:v>
                </c:pt>
                <c:pt idx="12">
                  <c:v>1.0147327958753034</c:v>
                </c:pt>
                <c:pt idx="13">
                  <c:v>1.0192489706741765</c:v>
                </c:pt>
                <c:pt idx="14">
                  <c:v>0.9824392574158276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D61-4DCE-9286-72E05B5CD6A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41289503"/>
        <c:axId val="1641287583"/>
      </c:scatterChart>
      <c:valAx>
        <c:axId val="164128950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41287583"/>
        <c:crosses val="autoZero"/>
        <c:crossBetween val="midCat"/>
      </c:valAx>
      <c:valAx>
        <c:axId val="16412875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4128950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'Sheet 1'!$F$65</c:f>
              <c:strCache>
                <c:ptCount val="1"/>
                <c:pt idx="0">
                  <c:v>=C/A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'Sheet 1'!$A$66:$A$76</c:f>
              <c:numCache>
                <c:formatCode>General</c:formatCode>
                <c:ptCount val="11"/>
                <c:pt idx="0">
                  <c:v>0.1</c:v>
                </c:pt>
                <c:pt idx="1">
                  <c:v>15</c:v>
                </c:pt>
                <c:pt idx="2">
                  <c:v>30</c:v>
                </c:pt>
                <c:pt idx="3">
                  <c:v>60</c:v>
                </c:pt>
                <c:pt idx="4">
                  <c:v>90</c:v>
                </c:pt>
                <c:pt idx="5">
                  <c:v>120</c:v>
                </c:pt>
                <c:pt idx="6">
                  <c:v>150</c:v>
                </c:pt>
                <c:pt idx="7">
                  <c:v>250</c:v>
                </c:pt>
                <c:pt idx="8">
                  <c:v>500</c:v>
                </c:pt>
                <c:pt idx="9">
                  <c:v>750</c:v>
                </c:pt>
                <c:pt idx="10">
                  <c:v>1000</c:v>
                </c:pt>
              </c:numCache>
            </c:numRef>
          </c:xVal>
          <c:yVal>
            <c:numRef>
              <c:f>'Sheet 1'!$F$66:$F$76</c:f>
              <c:numCache>
                <c:formatCode>0.000000</c:formatCode>
                <c:ptCount val="11"/>
                <c:pt idx="0">
                  <c:v>1.0201938145305103</c:v>
                </c:pt>
                <c:pt idx="1">
                  <c:v>1.0478683164942482</c:v>
                </c:pt>
                <c:pt idx="2">
                  <c:v>1.0473792025028101</c:v>
                </c:pt>
                <c:pt idx="3">
                  <c:v>1.053849165664958</c:v>
                </c:pt>
                <c:pt idx="4">
                  <c:v>1.051289217736306</c:v>
                </c:pt>
                <c:pt idx="5">
                  <c:v>1.0535239096501048</c:v>
                </c:pt>
                <c:pt idx="6">
                  <c:v>1.0520823967470339</c:v>
                </c:pt>
                <c:pt idx="7">
                  <c:v>1.0546841071923558</c:v>
                </c:pt>
                <c:pt idx="8">
                  <c:v>1.0515790332193304</c:v>
                </c:pt>
                <c:pt idx="9">
                  <c:v>1.0466978406658991</c:v>
                </c:pt>
                <c:pt idx="10">
                  <c:v>1.0412352593312988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DCE-479C-9EA8-30A245A083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4616576"/>
        <c:axId val="114617056"/>
      </c:scatterChart>
      <c:valAx>
        <c:axId val="1146165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617056"/>
        <c:crosses val="autoZero"/>
        <c:crossBetween val="midCat"/>
      </c:valAx>
      <c:valAx>
        <c:axId val="1146170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6165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'Sheet 1'!$F$48</c:f>
              <c:strCache>
                <c:ptCount val="1"/>
                <c:pt idx="0">
                  <c:v>=C/A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'Sheet 1'!$A$49:$A$59</c:f>
              <c:numCache>
                <c:formatCode>General</c:formatCode>
                <c:ptCount val="11"/>
                <c:pt idx="0">
                  <c:v>0.1</c:v>
                </c:pt>
                <c:pt idx="1">
                  <c:v>15</c:v>
                </c:pt>
                <c:pt idx="2">
                  <c:v>30</c:v>
                </c:pt>
                <c:pt idx="3">
                  <c:v>60</c:v>
                </c:pt>
                <c:pt idx="4">
                  <c:v>90</c:v>
                </c:pt>
                <c:pt idx="5">
                  <c:v>120</c:v>
                </c:pt>
                <c:pt idx="6">
                  <c:v>150</c:v>
                </c:pt>
                <c:pt idx="7">
                  <c:v>250</c:v>
                </c:pt>
                <c:pt idx="8">
                  <c:v>500</c:v>
                </c:pt>
                <c:pt idx="9">
                  <c:v>750</c:v>
                </c:pt>
                <c:pt idx="10">
                  <c:v>1000</c:v>
                </c:pt>
              </c:numCache>
            </c:numRef>
          </c:xVal>
          <c:yVal>
            <c:numRef>
              <c:f>'Sheet 1'!$F$49:$F$59</c:f>
              <c:numCache>
                <c:formatCode>0.000000</c:formatCode>
                <c:ptCount val="11"/>
                <c:pt idx="0">
                  <c:v>1.0002061377408649</c:v>
                </c:pt>
                <c:pt idx="1">
                  <c:v>0.99891005109663888</c:v>
                </c:pt>
                <c:pt idx="2">
                  <c:v>0.99815713339154455</c:v>
                </c:pt>
                <c:pt idx="3">
                  <c:v>1.0001410320682957</c:v>
                </c:pt>
                <c:pt idx="4">
                  <c:v>0.99834261928649515</c:v>
                </c:pt>
                <c:pt idx="5">
                  <c:v>1.000439827114133</c:v>
                </c:pt>
                <c:pt idx="6">
                  <c:v>0.99998298589275558</c:v>
                </c:pt>
                <c:pt idx="7">
                  <c:v>1.0031432346852518</c:v>
                </c:pt>
                <c:pt idx="8">
                  <c:v>1.0077316291586689</c:v>
                </c:pt>
                <c:pt idx="9">
                  <c:v>1.0118470565893447</c:v>
                </c:pt>
                <c:pt idx="10">
                  <c:v>1.0166118389025205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C96-4BEB-84E0-6A0C66B7B7A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977952"/>
        <c:axId val="111975072"/>
      </c:scatterChart>
      <c:valAx>
        <c:axId val="1119779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975072"/>
        <c:crosses val="autoZero"/>
        <c:crossBetween val="midCat"/>
      </c:valAx>
      <c:valAx>
        <c:axId val="111975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97795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132179</xdr:colOff>
      <xdr:row>23</xdr:row>
      <xdr:rowOff>56857</xdr:rowOff>
    </xdr:from>
    <xdr:to>
      <xdr:col>19</xdr:col>
      <xdr:colOff>436979</xdr:colOff>
      <xdr:row>42</xdr:row>
      <xdr:rowOff>56857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CBBF6084-11AA-97F7-53C2-9A86E48D264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300990</xdr:colOff>
      <xdr:row>2</xdr:row>
      <xdr:rowOff>99060</xdr:rowOff>
    </xdr:from>
    <xdr:to>
      <xdr:col>19</xdr:col>
      <xdr:colOff>605790</xdr:colOff>
      <xdr:row>19</xdr:row>
      <xdr:rowOff>99060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C38D171C-51DC-A2DA-08F3-A64A456D651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868680</xdr:colOff>
      <xdr:row>61</xdr:row>
      <xdr:rowOff>76200</xdr:rowOff>
    </xdr:from>
    <xdr:to>
      <xdr:col>19</xdr:col>
      <xdr:colOff>198120</xdr:colOff>
      <xdr:row>76</xdr:row>
      <xdr:rowOff>76200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2018F3B-2271-EEFD-8B60-2D067E47951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11</xdr:col>
      <xdr:colOff>929640</xdr:colOff>
      <xdr:row>45</xdr:row>
      <xdr:rowOff>7620</xdr:rowOff>
    </xdr:from>
    <xdr:to>
      <xdr:col>19</xdr:col>
      <xdr:colOff>259080</xdr:colOff>
      <xdr:row>60</xdr:row>
      <xdr:rowOff>7620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D82A22E-8B90-A0A4-CE77-0333E07A721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2416C2-1180-4450-A3B0-0B08DD9AEC85}">
  <dimension ref="A1:L76"/>
  <sheetViews>
    <sheetView tabSelected="1" topLeftCell="A13" zoomScale="115" zoomScaleNormal="115" workbookViewId="0">
      <selection activeCell="J27" sqref="J27:J41"/>
    </sheetView>
  </sheetViews>
  <sheetFormatPr defaultRowHeight="14.4" x14ac:dyDescent="0.3"/>
  <cols>
    <col min="1" max="1" width="12.33203125" customWidth="1"/>
    <col min="2" max="2" width="2.109375" customWidth="1"/>
    <col min="3" max="4" width="12.21875" customWidth="1"/>
    <col min="5" max="5" width="15.88671875" customWidth="1"/>
    <col min="6" max="6" width="15.6640625" customWidth="1"/>
    <col min="7" max="7" width="2.77734375" customWidth="1"/>
    <col min="8" max="11" width="13.33203125" customWidth="1"/>
    <col min="12" max="12" width="14.21875" customWidth="1"/>
  </cols>
  <sheetData>
    <row r="1" spans="1:12" x14ac:dyDescent="0.3">
      <c r="H1" s="1"/>
      <c r="I1" s="1"/>
      <c r="J1" s="1"/>
      <c r="K1" s="1"/>
    </row>
    <row r="2" spans="1:12" x14ac:dyDescent="0.3">
      <c r="C2" s="14" t="s">
        <v>2</v>
      </c>
      <c r="D2" s="14"/>
      <c r="E2" s="15"/>
      <c r="H2" s="2"/>
      <c r="I2" s="2"/>
      <c r="J2" s="2"/>
      <c r="K2" s="2"/>
    </row>
    <row r="3" spans="1:12" x14ac:dyDescent="0.3">
      <c r="C3" s="3" t="s">
        <v>4</v>
      </c>
      <c r="D3" s="3"/>
      <c r="E3" s="9"/>
      <c r="F3" s="3"/>
      <c r="H3" s="3" t="s">
        <v>3</v>
      </c>
      <c r="I3" s="3"/>
      <c r="J3" s="9"/>
      <c r="K3" s="9"/>
      <c r="L3" s="3"/>
    </row>
    <row r="4" spans="1:12" x14ac:dyDescent="0.3">
      <c r="A4" s="6" t="s">
        <v>0</v>
      </c>
      <c r="B4" s="6"/>
      <c r="C4" s="6" t="s">
        <v>1</v>
      </c>
      <c r="D4" s="6" t="s">
        <v>7</v>
      </c>
      <c r="E4" s="6" t="s">
        <v>6</v>
      </c>
      <c r="F4" s="7" t="s">
        <v>8</v>
      </c>
      <c r="G4" s="8"/>
      <c r="H4" s="6" t="s">
        <v>1</v>
      </c>
      <c r="I4" s="6" t="s">
        <v>7</v>
      </c>
      <c r="J4" s="6" t="s">
        <v>6</v>
      </c>
      <c r="K4" s="7" t="s">
        <v>8</v>
      </c>
      <c r="L4" s="7"/>
    </row>
    <row r="5" spans="1:12" x14ac:dyDescent="0.3">
      <c r="A5" s="8">
        <v>0</v>
      </c>
      <c r="B5" s="8"/>
      <c r="C5" s="16">
        <f>1.38911+0.015389</f>
        <v>1.4044990000000002</v>
      </c>
      <c r="D5" s="6"/>
      <c r="E5" s="6"/>
      <c r="F5" s="17"/>
      <c r="G5" s="8"/>
      <c r="H5" s="6"/>
      <c r="I5" s="6"/>
      <c r="J5" s="6"/>
      <c r="K5" s="17"/>
      <c r="L5" s="7"/>
    </row>
    <row r="6" spans="1:12" x14ac:dyDescent="0.3">
      <c r="A6">
        <v>0.1</v>
      </c>
      <c r="B6" s="5"/>
      <c r="C6">
        <v>1.40420707746021</v>
      </c>
      <c r="D6">
        <v>1.3686193553583801</v>
      </c>
      <c r="E6">
        <v>1.38512260545705</v>
      </c>
      <c r="F6" s="10">
        <f>E6/D6</f>
        <v>1.0120583199660715</v>
      </c>
      <c r="G6" s="4"/>
      <c r="H6">
        <v>1.4043892076542099</v>
      </c>
      <c r="I6">
        <v>1.3681177802680899</v>
      </c>
      <c r="J6">
        <v>1.3851639268062399</v>
      </c>
      <c r="K6" s="10">
        <f>J6/I6</f>
        <v>1.0124595607074192</v>
      </c>
      <c r="L6" s="10"/>
    </row>
    <row r="7" spans="1:12" x14ac:dyDescent="0.3">
      <c r="A7">
        <v>0.5</v>
      </c>
      <c r="B7" s="5"/>
      <c r="D7">
        <v>1.3922831524096599</v>
      </c>
      <c r="E7">
        <v>1.37451308945358</v>
      </c>
      <c r="F7" s="10">
        <f t="shared" ref="F7:F20" si="0">E7/D7</f>
        <v>0.98723674640081305</v>
      </c>
      <c r="G7" s="4"/>
      <c r="I7">
        <v>1.3884228746446901</v>
      </c>
      <c r="J7">
        <v>1.3739233641712201</v>
      </c>
      <c r="K7" s="10"/>
      <c r="L7" s="10"/>
    </row>
    <row r="8" spans="1:12" x14ac:dyDescent="0.3">
      <c r="A8">
        <v>1.5</v>
      </c>
      <c r="B8" s="5"/>
      <c r="D8">
        <v>1.4141178954362701</v>
      </c>
      <c r="E8">
        <v>1.3766722209354501</v>
      </c>
      <c r="F8" s="10">
        <f t="shared" si="0"/>
        <v>0.97352011835670349</v>
      </c>
      <c r="G8" s="4"/>
      <c r="I8">
        <v>1.4147283449213399</v>
      </c>
      <c r="J8">
        <v>1.3760578260651899</v>
      </c>
      <c r="K8" s="10"/>
      <c r="L8" s="10"/>
    </row>
    <row r="9" spans="1:12" x14ac:dyDescent="0.3">
      <c r="A9">
        <v>10</v>
      </c>
      <c r="B9" s="5"/>
      <c r="D9">
        <v>1.4052374449883001</v>
      </c>
      <c r="E9">
        <v>1.38656109713547</v>
      </c>
      <c r="F9" s="10">
        <f t="shared" si="0"/>
        <v>0.98670947182667379</v>
      </c>
      <c r="G9" s="4"/>
      <c r="I9">
        <v>1.3952787310994501</v>
      </c>
      <c r="J9">
        <v>1.3887518550334099</v>
      </c>
      <c r="K9" s="10"/>
      <c r="L9" s="10"/>
    </row>
    <row r="10" spans="1:12" s="4" customFormat="1" x14ac:dyDescent="0.3">
      <c r="A10">
        <v>15</v>
      </c>
      <c r="B10" s="5"/>
      <c r="C10" s="4">
        <v>1.3978225806626601</v>
      </c>
      <c r="D10">
        <v>1.3588321367490299</v>
      </c>
      <c r="E10">
        <v>1.3960885502131399</v>
      </c>
      <c r="F10" s="10">
        <f t="shared" si="0"/>
        <v>1.0274179661023068</v>
      </c>
      <c r="H10" s="4">
        <v>1.3977474767840601</v>
      </c>
      <c r="I10">
        <v>1.36086238814935</v>
      </c>
      <c r="J10">
        <v>1.3943568221478799</v>
      </c>
      <c r="K10" s="11">
        <f t="shared" ref="K10:K20" si="1">J10/I10</f>
        <v>1.0246126531897757</v>
      </c>
      <c r="L10" s="11"/>
    </row>
    <row r="11" spans="1:12" x14ac:dyDescent="0.3">
      <c r="A11">
        <v>30</v>
      </c>
      <c r="B11" s="5"/>
      <c r="C11">
        <v>1.3935791421766499</v>
      </c>
      <c r="D11">
        <v>1.38084479180245</v>
      </c>
      <c r="E11">
        <v>1.3802674426896999</v>
      </c>
      <c r="F11" s="10">
        <f t="shared" si="0"/>
        <v>0.9995818870330847</v>
      </c>
      <c r="G11" s="4"/>
      <c r="H11">
        <v>1.3923333952149399</v>
      </c>
      <c r="I11">
        <v>1.3852911212816701</v>
      </c>
      <c r="J11">
        <v>1.3731450592762</v>
      </c>
      <c r="K11" s="10">
        <f t="shared" si="1"/>
        <v>0.99123212311197628</v>
      </c>
      <c r="L11" s="10"/>
    </row>
    <row r="12" spans="1:12" s="4" customFormat="1" x14ac:dyDescent="0.3">
      <c r="A12">
        <v>60</v>
      </c>
      <c r="B12" s="5"/>
      <c r="C12" s="4">
        <v>1.38536063754419</v>
      </c>
      <c r="D12">
        <v>1.35391575819657</v>
      </c>
      <c r="E12">
        <v>1.35872734366118</v>
      </c>
      <c r="F12" s="10">
        <f t="shared" si="0"/>
        <v>1.0035538292803527</v>
      </c>
      <c r="H12" s="4">
        <v>1.3811147115786999</v>
      </c>
      <c r="I12">
        <v>1.3558315843768101</v>
      </c>
      <c r="J12">
        <v>1.35851656917782</v>
      </c>
      <c r="K12" s="11">
        <f t="shared" si="1"/>
        <v>1.0019803232436455</v>
      </c>
      <c r="L12" s="11"/>
    </row>
    <row r="13" spans="1:12" x14ac:dyDescent="0.3">
      <c r="A13">
        <v>90</v>
      </c>
      <c r="B13" s="5"/>
      <c r="C13">
        <v>1.37856347972413</v>
      </c>
      <c r="D13">
        <v>1.3540665504448699</v>
      </c>
      <c r="E13">
        <v>1.3846270062289301</v>
      </c>
      <c r="F13" s="10">
        <f t="shared" si="0"/>
        <v>1.0225693897940391</v>
      </c>
      <c r="G13" s="4"/>
      <c r="H13">
        <v>1.3698685473168299</v>
      </c>
      <c r="I13">
        <v>1.34423803647162</v>
      </c>
      <c r="J13">
        <v>1.37594039827729</v>
      </c>
      <c r="K13" s="10">
        <f t="shared" si="1"/>
        <v>1.0235838898658773</v>
      </c>
      <c r="L13" s="10"/>
    </row>
    <row r="14" spans="1:12" x14ac:dyDescent="0.3">
      <c r="A14">
        <v>100</v>
      </c>
      <c r="B14" s="5"/>
      <c r="D14">
        <v>1.3565730983264299</v>
      </c>
      <c r="E14">
        <v>1.37473157938041</v>
      </c>
      <c r="F14" s="10">
        <f t="shared" si="0"/>
        <v>1.0133855529616367</v>
      </c>
      <c r="G14" s="4"/>
      <c r="I14">
        <v>1.3294388930292</v>
      </c>
      <c r="J14">
        <v>1.3730626322350199</v>
      </c>
      <c r="K14" s="10"/>
      <c r="L14" s="10"/>
    </row>
    <row r="15" spans="1:12" s="4" customFormat="1" x14ac:dyDescent="0.3">
      <c r="A15">
        <v>120</v>
      </c>
      <c r="B15" s="5"/>
      <c r="C15" s="4">
        <v>1.3699400435562701</v>
      </c>
      <c r="D15">
        <v>1.34077916991197</v>
      </c>
      <c r="E15">
        <v>1.3634284951011899</v>
      </c>
      <c r="F15" s="10">
        <f t="shared" si="0"/>
        <v>1.0168926589087053</v>
      </c>
      <c r="H15" s="4">
        <v>1.35986137171571</v>
      </c>
      <c r="I15">
        <v>1.35581073898229</v>
      </c>
      <c r="J15">
        <v>1.34549110875214</v>
      </c>
      <c r="K15" s="11">
        <f t="shared" si="1"/>
        <v>0.99238859087523068</v>
      </c>
      <c r="L15" s="11"/>
    </row>
    <row r="16" spans="1:12" x14ac:dyDescent="0.3">
      <c r="A16">
        <v>150</v>
      </c>
      <c r="B16" s="5"/>
      <c r="C16">
        <v>1.3618779251700099</v>
      </c>
      <c r="D16">
        <v>1.3628583617894401</v>
      </c>
      <c r="E16">
        <v>1.3660435580514501</v>
      </c>
      <c r="F16" s="10">
        <f t="shared" si="0"/>
        <v>1.0023371440138709</v>
      </c>
      <c r="G16" s="4"/>
      <c r="H16">
        <v>1.34863286309854</v>
      </c>
      <c r="I16">
        <v>1.34642475596859</v>
      </c>
      <c r="J16">
        <v>1.3556369406847</v>
      </c>
      <c r="K16" s="10">
        <f t="shared" si="1"/>
        <v>1.0068419602917082</v>
      </c>
      <c r="L16" s="10"/>
    </row>
    <row r="17" spans="1:12" s="4" customFormat="1" x14ac:dyDescent="0.3">
      <c r="A17">
        <v>250</v>
      </c>
      <c r="B17" s="5"/>
      <c r="C17" s="4">
        <v>1.34128105403747</v>
      </c>
      <c r="D17">
        <v>1.31238054231434</v>
      </c>
      <c r="E17">
        <v>1.30114468854049</v>
      </c>
      <c r="F17" s="10">
        <f t="shared" si="0"/>
        <v>0.99143857028386306</v>
      </c>
      <c r="H17" s="4">
        <v>1.31869938927708</v>
      </c>
      <c r="I17">
        <v>1.2854468687873799</v>
      </c>
      <c r="J17">
        <v>1.2908172794684301</v>
      </c>
      <c r="K17" s="11">
        <f t="shared" si="1"/>
        <v>1.0041778550412717</v>
      </c>
      <c r="L17" s="11"/>
    </row>
    <row r="18" spans="1:12" x14ac:dyDescent="0.3">
      <c r="A18">
        <v>500</v>
      </c>
      <c r="B18" s="5"/>
      <c r="C18">
        <v>1.2896852557910301</v>
      </c>
      <c r="D18">
        <v>1.27106900787611</v>
      </c>
      <c r="E18">
        <v>1.2663520004962301</v>
      </c>
      <c r="F18" s="10">
        <f t="shared" si="0"/>
        <v>0.99628894469879192</v>
      </c>
      <c r="G18" s="4"/>
      <c r="H18">
        <v>1.24433347413396</v>
      </c>
      <c r="I18">
        <v>1.24215702849295</v>
      </c>
      <c r="J18">
        <v>1.26045747443881</v>
      </c>
      <c r="K18" s="10">
        <f t="shared" si="1"/>
        <v>1.0147327958753034</v>
      </c>
      <c r="L18" s="10"/>
    </row>
    <row r="19" spans="1:12" s="4" customFormat="1" x14ac:dyDescent="0.3">
      <c r="A19">
        <v>750</v>
      </c>
      <c r="B19" s="5"/>
      <c r="C19" s="4">
        <v>1.24225887840578</v>
      </c>
      <c r="D19">
        <v>1.2502327359779</v>
      </c>
      <c r="E19">
        <v>1.26687035022674</v>
      </c>
      <c r="F19" s="10">
        <f t="shared" si="0"/>
        <v>1.0133076136706871</v>
      </c>
      <c r="H19" s="4">
        <v>1.1765306054398399</v>
      </c>
      <c r="I19">
        <v>1.20261020085431</v>
      </c>
      <c r="J19">
        <v>1.2257592093430201</v>
      </c>
      <c r="K19" s="11">
        <f t="shared" si="1"/>
        <v>1.0192489706741765</v>
      </c>
      <c r="L19" s="11"/>
    </row>
    <row r="20" spans="1:12" x14ac:dyDescent="0.3">
      <c r="A20">
        <v>999.99</v>
      </c>
      <c r="B20" s="5"/>
      <c r="C20">
        <v>1.1938794039418501</v>
      </c>
      <c r="D20">
        <v>1.2216766905077201</v>
      </c>
      <c r="E20">
        <v>1.20816790789953</v>
      </c>
      <c r="F20" s="10">
        <f t="shared" si="0"/>
        <v>0.98894242420015732</v>
      </c>
      <c r="G20" s="4"/>
      <c r="H20">
        <v>1.1108715265371401</v>
      </c>
      <c r="I20">
        <v>1.1553240194424299</v>
      </c>
      <c r="J20">
        <v>1.13503567173569</v>
      </c>
      <c r="K20" s="10">
        <f t="shared" si="1"/>
        <v>0.9824392574158276</v>
      </c>
      <c r="L20" s="10"/>
    </row>
    <row r="24" spans="1:12" x14ac:dyDescent="0.3">
      <c r="C24" s="12" t="s">
        <v>5</v>
      </c>
      <c r="D24" s="12"/>
      <c r="E24" s="13"/>
      <c r="F24" s="13"/>
      <c r="H24" s="2"/>
      <c r="I24" s="2"/>
      <c r="J24" s="2"/>
      <c r="K24" s="2"/>
    </row>
    <row r="25" spans="1:12" x14ac:dyDescent="0.3">
      <c r="C25" s="3" t="s">
        <v>4</v>
      </c>
      <c r="D25" s="3"/>
      <c r="E25" s="9"/>
      <c r="F25" s="3"/>
      <c r="H25" s="3" t="s">
        <v>3</v>
      </c>
      <c r="I25" s="3"/>
      <c r="J25" s="9"/>
      <c r="K25" s="9"/>
      <c r="L25" s="3"/>
    </row>
    <row r="26" spans="1:12" x14ac:dyDescent="0.3">
      <c r="A26" s="6" t="s">
        <v>0</v>
      </c>
      <c r="B26" s="6"/>
      <c r="C26" s="6" t="s">
        <v>1</v>
      </c>
      <c r="D26" s="6" t="s">
        <v>7</v>
      </c>
      <c r="E26" s="6" t="s">
        <v>6</v>
      </c>
      <c r="F26" s="7" t="s">
        <v>8</v>
      </c>
      <c r="G26" s="8"/>
      <c r="H26" s="6" t="s">
        <v>1</v>
      </c>
      <c r="I26" s="6" t="s">
        <v>7</v>
      </c>
      <c r="J26" s="6" t="s">
        <v>6</v>
      </c>
      <c r="K26" s="7" t="s">
        <v>8</v>
      </c>
      <c r="L26" s="7"/>
    </row>
    <row r="27" spans="1:12" x14ac:dyDescent="0.3">
      <c r="A27">
        <v>0.1</v>
      </c>
      <c r="B27" s="5"/>
      <c r="C27" s="2">
        <v>3.52725672373683E-5</v>
      </c>
      <c r="D27">
        <v>3.2314434653956498E-4</v>
      </c>
      <c r="E27">
        <v>2.9113846589042902E-4</v>
      </c>
      <c r="F27" s="10">
        <f>E27/D27</f>
        <v>0.90095484884115951</v>
      </c>
      <c r="G27" s="4"/>
      <c r="H27" s="2">
        <v>3.2364516810043102E-5</v>
      </c>
      <c r="I27">
        <v>2.8864520587018101E-4</v>
      </c>
      <c r="J27">
        <v>2.8967006957661098E-4</v>
      </c>
      <c r="K27" s="10">
        <f>J27/I27</f>
        <v>1.0035506001332684</v>
      </c>
      <c r="L27" s="10"/>
    </row>
    <row r="28" spans="1:12" x14ac:dyDescent="0.3">
      <c r="A28">
        <v>0.5</v>
      </c>
      <c r="B28" s="5"/>
      <c r="C28" s="2"/>
      <c r="D28">
        <v>1.63531469505055E-3</v>
      </c>
      <c r="E28">
        <v>1.5602327945626699E-3</v>
      </c>
      <c r="F28" s="10"/>
      <c r="G28" s="4"/>
      <c r="H28" s="2"/>
      <c r="I28">
        <v>1.4624167995472899E-3</v>
      </c>
      <c r="J28">
        <v>1.55376135488548E-3</v>
      </c>
      <c r="K28" s="10"/>
      <c r="L28" s="10"/>
    </row>
    <row r="29" spans="1:12" x14ac:dyDescent="0.3">
      <c r="A29">
        <v>1.5</v>
      </c>
      <c r="B29" s="5"/>
      <c r="C29" s="2"/>
      <c r="D29">
        <v>5.0200091937920499E-3</v>
      </c>
      <c r="E29">
        <v>4.4418725803358596E-3</v>
      </c>
      <c r="F29" s="10"/>
      <c r="G29" s="4"/>
      <c r="H29" s="2"/>
      <c r="I29">
        <v>4.4120832608900004E-3</v>
      </c>
      <c r="J29">
        <v>4.3968622699160501E-3</v>
      </c>
      <c r="K29" s="10"/>
      <c r="L29" s="10"/>
    </row>
    <row r="30" spans="1:12" x14ac:dyDescent="0.3">
      <c r="A30">
        <v>10</v>
      </c>
      <c r="B30" s="5"/>
      <c r="C30" s="2"/>
      <c r="D30">
        <v>3.2233154188020502E-2</v>
      </c>
      <c r="E30">
        <v>3.1830960117675798E-2</v>
      </c>
      <c r="F30" s="10"/>
      <c r="G30" s="4"/>
      <c r="H30" s="2"/>
      <c r="I30">
        <v>2.9294700126228299E-2</v>
      </c>
      <c r="J30">
        <v>2.9963416156383201E-2</v>
      </c>
      <c r="K30" s="10"/>
      <c r="L30" s="10"/>
    </row>
    <row r="31" spans="1:12" x14ac:dyDescent="0.3">
      <c r="A31" s="4">
        <v>15</v>
      </c>
      <c r="B31" s="5"/>
      <c r="C31" s="5">
        <v>5.02535867346246E-3</v>
      </c>
      <c r="D31">
        <v>4.8083671005010903E-2</v>
      </c>
      <c r="E31">
        <v>4.7413078230864998E-2</v>
      </c>
      <c r="F31" s="11">
        <f t="shared" ref="F31:F41" si="2">E31/D31</f>
        <v>0.98605362776739691</v>
      </c>
      <c r="G31" s="4"/>
      <c r="H31">
        <v>4.7442437671726999E-3</v>
      </c>
      <c r="I31">
        <v>4.28280907778881E-2</v>
      </c>
      <c r="J31">
        <v>4.61668507397665E-2</v>
      </c>
      <c r="K31" s="11">
        <f t="shared" ref="K31:K41" si="3">J31/I31</f>
        <v>1.0779572449118415</v>
      </c>
      <c r="L31" s="11"/>
    </row>
    <row r="32" spans="1:12" x14ac:dyDescent="0.3">
      <c r="A32">
        <v>30</v>
      </c>
      <c r="B32" s="5"/>
      <c r="C32" s="2">
        <v>9.6096776712520909E-3</v>
      </c>
      <c r="D32">
        <v>9.5891818868841697E-2</v>
      </c>
      <c r="E32">
        <v>9.4831541186847598E-2</v>
      </c>
      <c r="F32" s="10">
        <f t="shared" si="2"/>
        <v>0.98894298080377097</v>
      </c>
      <c r="G32" s="4"/>
      <c r="H32">
        <v>9.3381817414101998E-3</v>
      </c>
      <c r="I32">
        <v>8.7192700810209606E-2</v>
      </c>
      <c r="J32">
        <v>8.8994701260368805E-2</v>
      </c>
      <c r="K32" s="10">
        <f t="shared" si="3"/>
        <v>1.0206668727246053</v>
      </c>
      <c r="L32" s="10"/>
    </row>
    <row r="33" spans="1:12" x14ac:dyDescent="0.3">
      <c r="A33" s="4">
        <v>60</v>
      </c>
      <c r="B33" s="5"/>
      <c r="C33" s="5">
        <v>1.7956202904139199E-2</v>
      </c>
      <c r="D33">
        <v>0.18310601049282599</v>
      </c>
      <c r="E33">
        <v>0.18135757900897301</v>
      </c>
      <c r="F33" s="11">
        <f t="shared" si="2"/>
        <v>0.99045126110744741</v>
      </c>
      <c r="G33" s="4"/>
      <c r="H33">
        <v>1.8093633576609602E-2</v>
      </c>
      <c r="I33">
        <v>0.168976390095402</v>
      </c>
      <c r="J33">
        <v>0.17402218522129201</v>
      </c>
      <c r="K33" s="11">
        <f t="shared" si="3"/>
        <v>1.0298609475740441</v>
      </c>
      <c r="L33" s="11"/>
    </row>
    <row r="34" spans="1:12" x14ac:dyDescent="0.3">
      <c r="A34">
        <v>90</v>
      </c>
      <c r="B34" s="5"/>
      <c r="C34" s="2">
        <v>2.54716677488637E-2</v>
      </c>
      <c r="D34">
        <v>0.27052609093888302</v>
      </c>
      <c r="E34">
        <v>0.27828767586518899</v>
      </c>
      <c r="F34" s="10">
        <f t="shared" si="2"/>
        <v>1.0286907074262921</v>
      </c>
      <c r="G34" s="4"/>
      <c r="H34">
        <v>2.63480432958439E-2</v>
      </c>
      <c r="I34">
        <v>0.25226765578979399</v>
      </c>
      <c r="J34">
        <v>0.27028735246822</v>
      </c>
      <c r="K34" s="10">
        <f t="shared" si="3"/>
        <v>1.0714308642620487</v>
      </c>
      <c r="L34" s="10"/>
    </row>
    <row r="35" spans="1:12" x14ac:dyDescent="0.3">
      <c r="A35" s="4">
        <v>100</v>
      </c>
      <c r="B35" s="5"/>
      <c r="C35" s="2"/>
      <c r="D35">
        <v>0.29782820153673201</v>
      </c>
      <c r="E35">
        <v>0.31219673881320298</v>
      </c>
      <c r="F35" s="10"/>
      <c r="G35" s="4"/>
      <c r="I35">
        <v>0.27710332040764002</v>
      </c>
      <c r="J35">
        <v>0.29733056001795299</v>
      </c>
      <c r="K35" s="10"/>
      <c r="L35" s="10"/>
    </row>
    <row r="36" spans="1:12" x14ac:dyDescent="0.3">
      <c r="A36" s="4">
        <v>120</v>
      </c>
      <c r="B36" s="5"/>
      <c r="C36" s="5">
        <v>3.2417642839879697E-2</v>
      </c>
      <c r="D36">
        <v>0.35933558625490702</v>
      </c>
      <c r="E36">
        <v>0.36327933121591299</v>
      </c>
      <c r="F36" s="11">
        <f t="shared" si="2"/>
        <v>1.0109751026946947</v>
      </c>
      <c r="G36" s="4"/>
      <c r="H36">
        <v>3.4169678168819703E-2</v>
      </c>
      <c r="I36">
        <v>0.33488526020133202</v>
      </c>
      <c r="J36">
        <v>0.350044087283917</v>
      </c>
      <c r="K36" s="11">
        <f t="shared" si="3"/>
        <v>1.0452657339217364</v>
      </c>
      <c r="L36" s="11"/>
    </row>
    <row r="37" spans="1:12" x14ac:dyDescent="0.3">
      <c r="A37">
        <v>150</v>
      </c>
      <c r="B37" s="5"/>
      <c r="C37" s="2">
        <v>3.9055212834252402E-2</v>
      </c>
      <c r="D37">
        <v>0.440983559195115</v>
      </c>
      <c r="E37">
        <v>0.46369387108133497</v>
      </c>
      <c r="F37" s="10">
        <f t="shared" si="2"/>
        <v>1.0514992257935214</v>
      </c>
      <c r="G37" s="4"/>
      <c r="H37">
        <v>4.1796462699614498E-2</v>
      </c>
      <c r="I37">
        <v>0.41421243624474702</v>
      </c>
      <c r="J37">
        <v>0.44198494489621698</v>
      </c>
      <c r="K37" s="10">
        <f t="shared" si="3"/>
        <v>1.0670489493344424</v>
      </c>
      <c r="L37" s="10"/>
    </row>
    <row r="38" spans="1:12" x14ac:dyDescent="0.3">
      <c r="A38" s="4">
        <v>250</v>
      </c>
      <c r="B38" s="5"/>
      <c r="C38" s="5">
        <v>5.8983323870902299E-2</v>
      </c>
      <c r="D38">
        <v>0.69943129650860603</v>
      </c>
      <c r="E38">
        <v>0.74056761334149801</v>
      </c>
      <c r="F38" s="11">
        <f t="shared" si="2"/>
        <v>1.0588139493303126</v>
      </c>
      <c r="G38" s="4"/>
      <c r="H38">
        <v>6.5796691976300697E-2</v>
      </c>
      <c r="I38">
        <v>0.66184301157104197</v>
      </c>
      <c r="J38">
        <v>0.70419594658632301</v>
      </c>
      <c r="K38" s="11">
        <f t="shared" si="3"/>
        <v>1.0639924185567</v>
      </c>
      <c r="L38" s="11"/>
    </row>
    <row r="39" spans="1:12" x14ac:dyDescent="0.3">
      <c r="A39">
        <v>500</v>
      </c>
      <c r="B39" s="5"/>
      <c r="C39" s="2">
        <v>0.103595084893309</v>
      </c>
      <c r="D39">
        <v>1.3176141318230901</v>
      </c>
      <c r="E39">
        <v>1.4059443021665801</v>
      </c>
      <c r="F39" s="10">
        <f t="shared" si="2"/>
        <v>1.0670379652207234</v>
      </c>
      <c r="G39" s="4"/>
      <c r="H39">
        <v>0.11839645185777101</v>
      </c>
      <c r="I39">
        <v>1.25292933313</v>
      </c>
      <c r="J39">
        <v>1.3590454721452301</v>
      </c>
      <c r="K39" s="10">
        <f t="shared" si="3"/>
        <v>1.0846944326462025</v>
      </c>
      <c r="L39" s="10"/>
    </row>
    <row r="40" spans="1:12" x14ac:dyDescent="0.3">
      <c r="A40" s="4">
        <v>750</v>
      </c>
      <c r="B40" s="5"/>
      <c r="C40" s="5">
        <v>0.14519436153500101</v>
      </c>
      <c r="D40">
        <v>1.9175894049158899</v>
      </c>
      <c r="E40">
        <v>2.0750333201713098</v>
      </c>
      <c r="F40" s="11">
        <f t="shared" si="2"/>
        <v>1.0821051236786146</v>
      </c>
      <c r="G40" s="4"/>
      <c r="H40">
        <v>0.165934052581929</v>
      </c>
      <c r="I40">
        <v>1.8041504774598101</v>
      </c>
      <c r="J40">
        <v>1.9766773113</v>
      </c>
      <c r="K40" s="11">
        <f t="shared" si="3"/>
        <v>1.0956277405879706</v>
      </c>
      <c r="L40" s="11"/>
    </row>
    <row r="41" spans="1:12" x14ac:dyDescent="0.3">
      <c r="A41">
        <v>1000</v>
      </c>
      <c r="B41" s="5"/>
      <c r="C41" s="2">
        <v>0.185920101577397</v>
      </c>
      <c r="D41">
        <v>2.4565650146404598</v>
      </c>
      <c r="E41">
        <v>2.6505145134263399</v>
      </c>
      <c r="F41" s="10">
        <f t="shared" si="2"/>
        <v>1.0789515024556622</v>
      </c>
      <c r="G41" s="4"/>
      <c r="H41">
        <v>0.211237572970251</v>
      </c>
      <c r="I41">
        <v>2.3142913460731198</v>
      </c>
      <c r="J41">
        <v>2.4780340620747099</v>
      </c>
      <c r="K41" s="10">
        <f t="shared" si="3"/>
        <v>1.0707528532565391</v>
      </c>
      <c r="L41" s="10"/>
    </row>
    <row r="45" spans="1:12" x14ac:dyDescent="0.3">
      <c r="C45" s="1" t="s">
        <v>9</v>
      </c>
    </row>
    <row r="46" spans="1:12" x14ac:dyDescent="0.3">
      <c r="C46" s="14" t="s">
        <v>2</v>
      </c>
      <c r="D46" s="14"/>
      <c r="E46" s="15"/>
      <c r="H46" s="2"/>
      <c r="I46" s="2"/>
      <c r="J46" s="2"/>
      <c r="K46" s="2"/>
    </row>
    <row r="47" spans="1:12" x14ac:dyDescent="0.3">
      <c r="C47" s="3" t="s">
        <v>4</v>
      </c>
      <c r="D47" s="3"/>
      <c r="E47" s="9"/>
      <c r="F47" s="3"/>
      <c r="H47" s="3" t="s">
        <v>3</v>
      </c>
      <c r="I47" s="3"/>
      <c r="J47" s="9"/>
      <c r="K47" s="9"/>
    </row>
    <row r="48" spans="1:12" x14ac:dyDescent="0.3">
      <c r="A48" s="6" t="s">
        <v>0</v>
      </c>
      <c r="B48" s="6"/>
      <c r="C48" s="6" t="s">
        <v>1</v>
      </c>
      <c r="D48" s="6" t="s">
        <v>7</v>
      </c>
      <c r="E48" s="6" t="s">
        <v>6</v>
      </c>
      <c r="F48" s="7" t="s">
        <v>8</v>
      </c>
      <c r="G48" s="8"/>
      <c r="H48" s="6" t="s">
        <v>1</v>
      </c>
      <c r="I48" s="6" t="s">
        <v>7</v>
      </c>
      <c r="J48" s="6" t="s">
        <v>6</v>
      </c>
      <c r="K48" s="7" t="s">
        <v>8</v>
      </c>
    </row>
    <row r="49" spans="1:11" x14ac:dyDescent="0.3">
      <c r="A49">
        <v>0.1</v>
      </c>
      <c r="B49" s="5"/>
      <c r="C49">
        <v>1.38755773111088</v>
      </c>
      <c r="D49">
        <v>1.3354353849754901</v>
      </c>
      <c r="E49">
        <v>1.33571066860882</v>
      </c>
      <c r="F49" s="10">
        <f>E49/D49</f>
        <v>1.0002061377408649</v>
      </c>
      <c r="G49" s="4"/>
      <c r="I49">
        <v>1.3355902411931799</v>
      </c>
      <c r="J49">
        <v>1.33570664006712</v>
      </c>
      <c r="K49" s="10">
        <f>J49/I49</f>
        <v>1.0000871516355467</v>
      </c>
    </row>
    <row r="50" spans="1:11" x14ac:dyDescent="0.3">
      <c r="A50" s="4">
        <v>15</v>
      </c>
      <c r="B50" s="5"/>
      <c r="C50">
        <v>1.38409520401011</v>
      </c>
      <c r="D50">
        <v>1.3305745989353699</v>
      </c>
      <c r="E50">
        <v>1.3291243406104201</v>
      </c>
      <c r="F50" s="11">
        <f t="shared" ref="F50:F59" si="4">E50/D50</f>
        <v>0.99891005109663888</v>
      </c>
      <c r="G50" s="4"/>
      <c r="H50" s="4"/>
      <c r="I50">
        <v>1.3283272840070699</v>
      </c>
      <c r="J50">
        <v>1.32707241565139</v>
      </c>
      <c r="K50" s="11">
        <f t="shared" ref="K50:K59" si="5">J50/I50</f>
        <v>0.99905530182900826</v>
      </c>
    </row>
    <row r="51" spans="1:11" x14ac:dyDescent="0.3">
      <c r="A51">
        <v>30</v>
      </c>
      <c r="B51" s="5"/>
      <c r="C51">
        <v>1.3811622398640599</v>
      </c>
      <c r="D51">
        <v>1.3310144038562199</v>
      </c>
      <c r="E51">
        <v>1.3285615218559801</v>
      </c>
      <c r="F51" s="10">
        <f t="shared" si="4"/>
        <v>0.99815713339154455</v>
      </c>
      <c r="G51" s="4"/>
      <c r="I51">
        <v>1.32510611680532</v>
      </c>
      <c r="J51">
        <v>1.3232823680411001</v>
      </c>
      <c r="K51" s="10">
        <f t="shared" si="5"/>
        <v>0.9986236960639675</v>
      </c>
    </row>
    <row r="52" spans="1:11" x14ac:dyDescent="0.3">
      <c r="A52" s="4">
        <v>60</v>
      </c>
      <c r="B52" s="5"/>
      <c r="C52">
        <v>1.37486493369789</v>
      </c>
      <c r="D52">
        <v>1.32588118290715</v>
      </c>
      <c r="E52">
        <v>1.3260681746726899</v>
      </c>
      <c r="F52" s="11">
        <f t="shared" si="4"/>
        <v>1.0001410320682957</v>
      </c>
      <c r="G52" s="4"/>
      <c r="H52" s="4"/>
      <c r="I52">
        <v>1.3187223856414001</v>
      </c>
      <c r="J52">
        <v>1.31770759949175</v>
      </c>
      <c r="K52" s="11">
        <f t="shared" si="5"/>
        <v>0.99923047780131791</v>
      </c>
    </row>
    <row r="53" spans="1:11" x14ac:dyDescent="0.3">
      <c r="A53">
        <v>90</v>
      </c>
      <c r="B53" s="5"/>
      <c r="C53">
        <v>1.36350384779266</v>
      </c>
      <c r="D53">
        <v>1.3250331310758601</v>
      </c>
      <c r="E53">
        <v>1.32283704671966</v>
      </c>
      <c r="F53" s="10">
        <f t="shared" si="4"/>
        <v>0.99834261928649515</v>
      </c>
      <c r="G53" s="4"/>
      <c r="I53">
        <v>1.3124798292895099</v>
      </c>
      <c r="J53">
        <v>1.3112535491322701</v>
      </c>
      <c r="K53" s="10">
        <f t="shared" si="5"/>
        <v>0.99906567694994319</v>
      </c>
    </row>
    <row r="54" spans="1:11" x14ac:dyDescent="0.3">
      <c r="A54" s="4">
        <v>120</v>
      </c>
      <c r="B54" s="5"/>
      <c r="C54">
        <v>1.3571706170428599</v>
      </c>
      <c r="D54">
        <v>1.3186752377537301</v>
      </c>
      <c r="E54">
        <v>1.31925522687803</v>
      </c>
      <c r="F54" s="11">
        <f t="shared" si="4"/>
        <v>1.000439827114133</v>
      </c>
      <c r="G54" s="4"/>
      <c r="H54" s="4"/>
      <c r="I54">
        <v>1.3033297752905399</v>
      </c>
      <c r="J54">
        <v>1.3019564075099299</v>
      </c>
      <c r="K54" s="11">
        <f t="shared" si="5"/>
        <v>0.99894626225330896</v>
      </c>
    </row>
    <row r="55" spans="1:11" x14ac:dyDescent="0.3">
      <c r="A55">
        <v>150</v>
      </c>
      <c r="B55" s="5"/>
      <c r="C55">
        <v>1.35109721915133</v>
      </c>
      <c r="D55">
        <v>1.3162252475838401</v>
      </c>
      <c r="E55">
        <v>1.3162028531863199</v>
      </c>
      <c r="F55" s="10">
        <f t="shared" si="4"/>
        <v>0.99998298589275558</v>
      </c>
      <c r="G55" s="4"/>
      <c r="I55">
        <v>1.29663015170481</v>
      </c>
      <c r="J55">
        <v>1.2969552292914901</v>
      </c>
      <c r="K55" s="10">
        <f t="shared" si="5"/>
        <v>1.0002507095691495</v>
      </c>
    </row>
    <row r="56" spans="1:11" x14ac:dyDescent="0.3">
      <c r="A56" s="4">
        <v>250</v>
      </c>
      <c r="B56" s="5"/>
      <c r="C56">
        <v>1.32844051248484</v>
      </c>
      <c r="D56">
        <v>1.30260068538983</v>
      </c>
      <c r="E56">
        <v>1.3066950650451801</v>
      </c>
      <c r="F56" s="11">
        <f t="shared" si="4"/>
        <v>1.0031432346852518</v>
      </c>
      <c r="G56" s="4"/>
      <c r="H56" s="4"/>
      <c r="I56">
        <v>1.2708609670523101</v>
      </c>
      <c r="J56">
        <v>1.27351639583336</v>
      </c>
      <c r="K56" s="11">
        <f t="shared" si="5"/>
        <v>1.0020894722946829</v>
      </c>
    </row>
    <row r="57" spans="1:11" x14ac:dyDescent="0.3">
      <c r="A57">
        <v>500</v>
      </c>
      <c r="B57" s="5"/>
      <c r="C57">
        <v>1.26939305918802</v>
      </c>
      <c r="D57">
        <v>1.26652819252339</v>
      </c>
      <c r="E57">
        <v>1.2763205188269799</v>
      </c>
      <c r="F57" s="10">
        <f t="shared" si="4"/>
        <v>1.0077316291586689</v>
      </c>
      <c r="G57" s="4"/>
      <c r="I57">
        <v>1.2073775660257999</v>
      </c>
      <c r="J57">
        <v>1.2155197343022801</v>
      </c>
      <c r="K57" s="10">
        <f t="shared" si="5"/>
        <v>1.0067436802749954</v>
      </c>
    </row>
    <row r="58" spans="1:11" x14ac:dyDescent="0.3">
      <c r="A58" s="4">
        <v>750</v>
      </c>
      <c r="B58" s="5"/>
      <c r="C58">
        <v>1.2146497361047901</v>
      </c>
      <c r="D58">
        <v>1.2257285387942201</v>
      </c>
      <c r="E58">
        <v>1.2402498141564899</v>
      </c>
      <c r="F58" s="11">
        <f t="shared" si="4"/>
        <v>1.0118470565893447</v>
      </c>
      <c r="G58" s="4"/>
      <c r="H58" s="4"/>
      <c r="I58">
        <v>1.1403490012176101</v>
      </c>
      <c r="J58">
        <v>1.15185236456864</v>
      </c>
      <c r="K58" s="11">
        <f t="shared" si="5"/>
        <v>1.0100875813796892</v>
      </c>
    </row>
    <row r="59" spans="1:11" x14ac:dyDescent="0.3">
      <c r="A59">
        <v>1000</v>
      </c>
      <c r="B59" s="5"/>
      <c r="C59">
        <v>1.1436421352186501</v>
      </c>
      <c r="D59">
        <v>1.1781818408587099</v>
      </c>
      <c r="E59">
        <v>1.19775360779693</v>
      </c>
      <c r="F59" s="10">
        <f t="shared" si="4"/>
        <v>1.0166118389025205</v>
      </c>
      <c r="G59" s="4"/>
      <c r="I59">
        <v>1.072078850564</v>
      </c>
      <c r="J59">
        <v>1.0876143945201899</v>
      </c>
      <c r="K59" s="10">
        <f t="shared" si="5"/>
        <v>1.0144910460158942</v>
      </c>
    </row>
    <row r="63" spans="1:11" x14ac:dyDescent="0.3">
      <c r="C63" s="12" t="s">
        <v>5</v>
      </c>
      <c r="D63" s="12"/>
      <c r="E63" s="13"/>
      <c r="F63" s="13"/>
      <c r="H63" s="2"/>
      <c r="I63" s="2"/>
      <c r="J63" s="2"/>
      <c r="K63" s="2"/>
    </row>
    <row r="64" spans="1:11" x14ac:dyDescent="0.3">
      <c r="C64" s="3" t="s">
        <v>4</v>
      </c>
      <c r="D64" s="3"/>
      <c r="E64" s="9"/>
      <c r="F64" s="3"/>
      <c r="H64" s="3" t="s">
        <v>3</v>
      </c>
      <c r="I64" s="3"/>
      <c r="J64" s="9"/>
      <c r="K64" s="9"/>
    </row>
    <row r="65" spans="1:11" x14ac:dyDescent="0.3">
      <c r="A65" s="6" t="s">
        <v>0</v>
      </c>
      <c r="B65" s="6"/>
      <c r="C65" s="6" t="s">
        <v>1</v>
      </c>
      <c r="D65" s="6" t="s">
        <v>7</v>
      </c>
      <c r="E65" s="6" t="s">
        <v>6</v>
      </c>
      <c r="F65" s="7" t="s">
        <v>8</v>
      </c>
      <c r="G65" s="8"/>
      <c r="H65" s="6" t="s">
        <v>1</v>
      </c>
      <c r="I65" s="6" t="s">
        <v>7</v>
      </c>
      <c r="J65" s="6" t="s">
        <v>6</v>
      </c>
      <c r="K65" s="7" t="s">
        <v>8</v>
      </c>
    </row>
    <row r="66" spans="1:11" x14ac:dyDescent="0.3">
      <c r="A66">
        <v>0.1</v>
      </c>
      <c r="B66" s="5"/>
      <c r="C66" s="2">
        <v>2.0906018648200899E-5</v>
      </c>
      <c r="D66" s="2">
        <v>2.0018619481595599E-5</v>
      </c>
      <c r="E66" s="2">
        <v>2.04228717705638E-5</v>
      </c>
      <c r="F66" s="10">
        <f>E66/D66</f>
        <v>1.0201938145305103</v>
      </c>
      <c r="G66" s="4"/>
      <c r="H66" s="2"/>
      <c r="I66" s="2">
        <v>2.4434932696069799E-5</v>
      </c>
      <c r="J66" s="2">
        <v>2.5518609602937599E-5</v>
      </c>
      <c r="K66" s="10">
        <f>J66/I66</f>
        <v>1.0443494942403546</v>
      </c>
    </row>
    <row r="67" spans="1:11" x14ac:dyDescent="0.3">
      <c r="A67" s="4">
        <v>15</v>
      </c>
      <c r="B67" s="5"/>
      <c r="C67" s="2">
        <v>3.1327203465188001E-3</v>
      </c>
      <c r="D67">
        <v>2.9966209956305001E-3</v>
      </c>
      <c r="E67">
        <v>3.14006419786265E-3</v>
      </c>
      <c r="F67" s="11">
        <f t="shared" ref="F67:F76" si="6">E67/D67</f>
        <v>1.0478683164942482</v>
      </c>
      <c r="G67" s="4"/>
      <c r="I67">
        <v>3.6561489620800698E-3</v>
      </c>
      <c r="J67">
        <v>3.8583728177792702E-3</v>
      </c>
      <c r="K67" s="11">
        <f t="shared" ref="K67:K76" si="7">J67/I67</f>
        <v>1.0553106172085915</v>
      </c>
    </row>
    <row r="68" spans="1:11" x14ac:dyDescent="0.3">
      <c r="A68">
        <v>30</v>
      </c>
      <c r="B68" s="5"/>
      <c r="C68" s="2">
        <v>6.2691724987101998E-3</v>
      </c>
      <c r="D68">
        <v>6.0122469256428399E-3</v>
      </c>
      <c r="E68">
        <v>6.2971023902297701E-3</v>
      </c>
      <c r="F68" s="10">
        <f t="shared" si="6"/>
        <v>1.0473792025028101</v>
      </c>
      <c r="G68" s="4"/>
      <c r="I68">
        <v>7.3167786817070497E-3</v>
      </c>
      <c r="J68">
        <v>7.7206053021012903E-3</v>
      </c>
      <c r="K68" s="10">
        <f t="shared" si="7"/>
        <v>1.0551918594181156</v>
      </c>
    </row>
    <row r="69" spans="1:11" x14ac:dyDescent="0.3">
      <c r="A69" s="4">
        <v>60</v>
      </c>
      <c r="B69" s="5"/>
      <c r="C69" s="2">
        <v>1.2558983712415E-2</v>
      </c>
      <c r="D69">
        <v>1.2036181905772299E-2</v>
      </c>
      <c r="E69">
        <v>1.26843202591898E-2</v>
      </c>
      <c r="F69" s="11">
        <f t="shared" si="6"/>
        <v>1.053849165664958</v>
      </c>
      <c r="G69" s="4"/>
      <c r="I69">
        <v>1.4655010559957399E-2</v>
      </c>
      <c r="J69">
        <v>1.54708347850845E-2</v>
      </c>
      <c r="K69" s="11">
        <f t="shared" si="7"/>
        <v>1.0556686207621178</v>
      </c>
    </row>
    <row r="70" spans="1:11" x14ac:dyDescent="0.3">
      <c r="A70">
        <v>90</v>
      </c>
      <c r="B70" s="5"/>
      <c r="C70" s="2">
        <v>1.8782496824776201E-2</v>
      </c>
      <c r="D70">
        <v>1.81922730031659E-2</v>
      </c>
      <c r="E70">
        <v>1.9125340454343599E-2</v>
      </c>
      <c r="F70" s="10">
        <f t="shared" si="6"/>
        <v>1.051289217736306</v>
      </c>
      <c r="G70" s="4"/>
      <c r="I70">
        <v>2.20520227131588E-2</v>
      </c>
      <c r="J70">
        <v>2.3279563002525702E-2</v>
      </c>
      <c r="K70" s="10">
        <f t="shared" si="7"/>
        <v>1.0556656550437167</v>
      </c>
    </row>
    <row r="71" spans="1:11" x14ac:dyDescent="0.3">
      <c r="A71" s="4">
        <v>120</v>
      </c>
      <c r="B71" s="5"/>
      <c r="C71" s="2">
        <v>2.51046376970986E-2</v>
      </c>
      <c r="D71">
        <v>2.42950363565053E-2</v>
      </c>
      <c r="E71">
        <v>2.55954016873969E-2</v>
      </c>
      <c r="F71" s="11">
        <f t="shared" si="6"/>
        <v>1.0535239096501048</v>
      </c>
      <c r="G71" s="4"/>
      <c r="I71">
        <v>2.9379142051595902E-2</v>
      </c>
      <c r="J71">
        <v>3.0966693098777899E-2</v>
      </c>
      <c r="K71" s="11">
        <f t="shared" si="7"/>
        <v>1.0540366714723639</v>
      </c>
    </row>
    <row r="72" spans="1:11" x14ac:dyDescent="0.3">
      <c r="A72">
        <v>150</v>
      </c>
      <c r="B72" s="5"/>
      <c r="C72" s="2">
        <v>3.1476119846668899E-2</v>
      </c>
      <c r="D72">
        <v>3.0568379602756501E-2</v>
      </c>
      <c r="E72">
        <v>3.2160454077141201E-2</v>
      </c>
      <c r="F72" s="10">
        <f t="shared" si="6"/>
        <v>1.0520823967470339</v>
      </c>
      <c r="G72" s="4"/>
      <c r="I72">
        <v>3.6804448452257998E-2</v>
      </c>
      <c r="J72">
        <v>3.8844686371276298E-2</v>
      </c>
      <c r="K72" s="10">
        <f t="shared" si="7"/>
        <v>1.0554345467685748</v>
      </c>
    </row>
    <row r="73" spans="1:11" x14ac:dyDescent="0.3">
      <c r="A73" s="4">
        <v>250</v>
      </c>
      <c r="B73" s="5"/>
      <c r="C73" s="2">
        <v>5.2878603388737497E-2</v>
      </c>
      <c r="D73">
        <v>5.1688372196524002E-2</v>
      </c>
      <c r="E73">
        <v>5.4514904682317102E-2</v>
      </c>
      <c r="F73" s="11">
        <f t="shared" si="6"/>
        <v>1.0546841071923558</v>
      </c>
      <c r="G73" s="4"/>
      <c r="I73">
        <v>6.1567552933483601E-2</v>
      </c>
      <c r="J73">
        <v>6.4958585716827305E-2</v>
      </c>
      <c r="K73" s="11">
        <f t="shared" si="7"/>
        <v>1.0550782453057264</v>
      </c>
    </row>
    <row r="74" spans="1:11" x14ac:dyDescent="0.3">
      <c r="A74">
        <v>500</v>
      </c>
      <c r="B74" s="5"/>
      <c r="C74" s="2">
        <v>0.107716927588289</v>
      </c>
      <c r="D74">
        <v>0.107312205249392</v>
      </c>
      <c r="E74">
        <v>0.11284726504879</v>
      </c>
      <c r="F74" s="10">
        <f t="shared" si="6"/>
        <v>1.0515790332193304</v>
      </c>
      <c r="G74" s="4"/>
      <c r="I74">
        <v>0.124585487877085</v>
      </c>
      <c r="J74">
        <v>0.13088073929294</v>
      </c>
      <c r="K74" s="10">
        <f t="shared" si="7"/>
        <v>1.0505295722890764</v>
      </c>
    </row>
    <row r="75" spans="1:11" x14ac:dyDescent="0.3">
      <c r="A75" s="4">
        <v>750</v>
      </c>
      <c r="B75" s="5"/>
      <c r="C75" s="2">
        <v>0.16515386445267599</v>
      </c>
      <c r="D75">
        <v>0.166593474221475</v>
      </c>
      <c r="E75">
        <v>0.17437302973664801</v>
      </c>
      <c r="F75" s="11">
        <f t="shared" si="6"/>
        <v>1.0466978406658991</v>
      </c>
      <c r="G75" s="4"/>
      <c r="I75">
        <v>0.188315720076114</v>
      </c>
      <c r="J75">
        <v>0.19671890522285099</v>
      </c>
      <c r="K75" s="11">
        <f t="shared" si="7"/>
        <v>1.0446228554012409</v>
      </c>
    </row>
    <row r="76" spans="1:11" x14ac:dyDescent="0.3">
      <c r="A76">
        <v>1000</v>
      </c>
      <c r="B76" s="5"/>
      <c r="C76" s="2">
        <v>0.22114304090137801</v>
      </c>
      <c r="D76">
        <v>0.22843742858074301</v>
      </c>
      <c r="E76">
        <v>0.23785710518924499</v>
      </c>
      <c r="F76" s="10">
        <f t="shared" si="6"/>
        <v>1.0412352593312988</v>
      </c>
      <c r="G76" s="4"/>
      <c r="I76">
        <v>0.25212873564071397</v>
      </c>
      <c r="J76">
        <v>0.26159631710660702</v>
      </c>
      <c r="K76" s="10">
        <f t="shared" si="7"/>
        <v>1.0375505847908761</v>
      </c>
    </row>
  </sheetData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 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Patrick Park</dc:creator>
  <cp:lastModifiedBy>Patrick Park</cp:lastModifiedBy>
  <dcterms:created xsi:type="dcterms:W3CDTF">2015-06-05T18:17:20Z</dcterms:created>
  <dcterms:modified xsi:type="dcterms:W3CDTF">2026-04-05T03:35:57Z</dcterms:modified>
</cp:coreProperties>
</file>