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patri\projects\emma-openmc\Jupyter\Wedge\"/>
    </mc:Choice>
  </mc:AlternateContent>
  <xr:revisionPtr revIDLastSave="0" documentId="13_ncr:1_{21D95984-55C4-4974-81A4-E3E612C99D61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Q54" i="3" s="1"/>
  <c r="H54" i="3"/>
  <c r="I54" i="3" s="1"/>
  <c r="P53" i="3"/>
  <c r="Q53" i="3" s="1"/>
  <c r="H53" i="3"/>
  <c r="I53" i="3" s="1"/>
  <c r="Q52" i="3"/>
  <c r="P52" i="3"/>
  <c r="H52" i="3"/>
  <c r="I52" i="3" s="1"/>
  <c r="P51" i="3"/>
  <c r="Q51" i="3" s="1"/>
  <c r="H51" i="3"/>
  <c r="I51" i="3" s="1"/>
  <c r="P50" i="3"/>
  <c r="Q50" i="3" s="1"/>
  <c r="H50" i="3"/>
  <c r="I50" i="3" s="1"/>
  <c r="P49" i="3"/>
  <c r="Q49" i="3" s="1"/>
  <c r="H49" i="3"/>
  <c r="I49" i="3" s="1"/>
  <c r="P48" i="3"/>
  <c r="Q48" i="3" s="1"/>
  <c r="H48" i="3"/>
  <c r="I48" i="3" s="1"/>
  <c r="P47" i="3"/>
  <c r="Q47" i="3" s="1"/>
  <c r="H47" i="3"/>
  <c r="I47" i="3" s="1"/>
  <c r="P46" i="3"/>
  <c r="Q46" i="3" s="1"/>
  <c r="H46" i="3"/>
  <c r="I46" i="3" s="1"/>
  <c r="P45" i="3"/>
  <c r="Q45" i="3" s="1"/>
  <c r="H45" i="3"/>
  <c r="I45" i="3" s="1"/>
  <c r="P44" i="3"/>
  <c r="Q44" i="3" s="1"/>
  <c r="H44" i="3"/>
  <c r="I44" i="3" s="1"/>
  <c r="P43" i="3"/>
  <c r="Q43" i="3" s="1"/>
  <c r="H43" i="3"/>
  <c r="I43" i="3" s="1"/>
  <c r="P42" i="3"/>
  <c r="Q42" i="3" s="1"/>
  <c r="H42" i="3"/>
  <c r="I42" i="3" s="1"/>
  <c r="H61" i="3"/>
  <c r="I61" i="3" s="1"/>
  <c r="P61" i="3"/>
  <c r="Q61" i="3" s="1"/>
  <c r="H62" i="3"/>
  <c r="I62" i="3" s="1"/>
  <c r="P62" i="3"/>
  <c r="Q62" i="3" s="1"/>
  <c r="H63" i="3"/>
  <c r="I63" i="3" s="1"/>
  <c r="P63" i="3"/>
  <c r="Q63" i="3"/>
  <c r="H64" i="3"/>
  <c r="I64" i="3" s="1"/>
  <c r="P64" i="3"/>
  <c r="Q64" i="3"/>
  <c r="H65" i="3"/>
  <c r="I65" i="3" s="1"/>
  <c r="P65" i="3"/>
  <c r="Q65" i="3" s="1"/>
  <c r="H66" i="3"/>
  <c r="I66" i="3" s="1"/>
  <c r="P66" i="3"/>
  <c r="Q66" i="3" s="1"/>
  <c r="H67" i="3"/>
  <c r="I67" i="3" s="1"/>
  <c r="P67" i="3"/>
  <c r="Q67" i="3" s="1"/>
  <c r="H68" i="3"/>
  <c r="I68" i="3" s="1"/>
  <c r="P68" i="3"/>
  <c r="Q68" i="3" s="1"/>
  <c r="H69" i="3"/>
  <c r="I69" i="3" s="1"/>
  <c r="P69" i="3"/>
  <c r="Q69" i="3"/>
  <c r="H70" i="3"/>
  <c r="I70" i="3" s="1"/>
  <c r="P70" i="3"/>
  <c r="Q70" i="3" s="1"/>
  <c r="P109" i="3"/>
  <c r="Q109" i="3" s="1"/>
  <c r="H109" i="3"/>
  <c r="I109" i="3" s="1"/>
  <c r="P108" i="3"/>
  <c r="Q108" i="3" s="1"/>
  <c r="H108" i="3"/>
  <c r="I108" i="3" s="1"/>
  <c r="P107" i="3"/>
  <c r="Q107" i="3" s="1"/>
  <c r="H107" i="3"/>
  <c r="I107" i="3" s="1"/>
  <c r="P106" i="3"/>
  <c r="Q106" i="3" s="1"/>
  <c r="H106" i="3"/>
  <c r="I106" i="3" s="1"/>
  <c r="P105" i="3"/>
  <c r="Q105" i="3" s="1"/>
  <c r="H105" i="3"/>
  <c r="I105" i="3" s="1"/>
  <c r="P104" i="3"/>
  <c r="Q104" i="3" s="1"/>
  <c r="H104" i="3"/>
  <c r="I104" i="3" s="1"/>
  <c r="P103" i="3"/>
  <c r="Q103" i="3" s="1"/>
  <c r="H103" i="3"/>
  <c r="I103" i="3" s="1"/>
  <c r="P102" i="3"/>
  <c r="Q102" i="3" s="1"/>
  <c r="H102" i="3"/>
  <c r="I102" i="3" s="1"/>
  <c r="P101" i="3"/>
  <c r="Q101" i="3" s="1"/>
  <c r="H101" i="3"/>
  <c r="I101" i="3" s="1"/>
  <c r="P100" i="3"/>
  <c r="Q100" i="3" s="1"/>
  <c r="H100" i="3"/>
  <c r="I100" i="3" s="1"/>
  <c r="P99" i="3"/>
  <c r="Q99" i="3" s="1"/>
  <c r="H99" i="3"/>
  <c r="I99" i="3" s="1"/>
  <c r="P98" i="3"/>
  <c r="Q98" i="3" s="1"/>
  <c r="H98" i="3"/>
  <c r="I98" i="3" s="1"/>
  <c r="P97" i="3"/>
  <c r="Q97" i="3" s="1"/>
  <c r="H97" i="3"/>
  <c r="I97" i="3" s="1"/>
  <c r="P91" i="3"/>
  <c r="P90" i="3"/>
  <c r="P89" i="3"/>
  <c r="P88" i="3"/>
  <c r="P87" i="3"/>
  <c r="P86" i="3"/>
  <c r="P85" i="3"/>
  <c r="Q85" i="3" s="1"/>
  <c r="P84" i="3"/>
  <c r="Q84" i="3" s="1"/>
  <c r="P83" i="3"/>
  <c r="Q83" i="3" s="1"/>
  <c r="P82" i="3"/>
  <c r="Q82" i="3" s="1"/>
  <c r="P81" i="3"/>
  <c r="Q81" i="3" s="1"/>
  <c r="P80" i="3"/>
  <c r="Q80" i="3" s="1"/>
  <c r="P79" i="3"/>
  <c r="Q79" i="3" s="1"/>
  <c r="Q91" i="3"/>
  <c r="Q90" i="3"/>
  <c r="Q89" i="3"/>
  <c r="Q88" i="3"/>
  <c r="Q87" i="3"/>
  <c r="Q86" i="3"/>
  <c r="P72" i="3"/>
  <c r="Q72" i="3" s="1"/>
  <c r="P73" i="3"/>
  <c r="Q73" i="3" s="1"/>
  <c r="H80" i="3"/>
  <c r="I80" i="3" s="1"/>
  <c r="H81" i="3"/>
  <c r="I81" i="3" s="1"/>
  <c r="H82" i="3"/>
  <c r="I82" i="3" s="1"/>
  <c r="H83" i="3"/>
  <c r="I83" i="3" s="1"/>
  <c r="H84" i="3"/>
  <c r="I84" i="3" s="1"/>
  <c r="H85" i="3"/>
  <c r="I85" i="3" s="1"/>
  <c r="H86" i="3"/>
  <c r="I86" i="3" s="1"/>
  <c r="H87" i="3"/>
  <c r="I87" i="3" s="1"/>
  <c r="H88" i="3"/>
  <c r="I88" i="3" s="1"/>
  <c r="H89" i="3"/>
  <c r="I89" i="3" s="1"/>
  <c r="H90" i="3"/>
  <c r="I90" i="3" s="1"/>
  <c r="H91" i="3"/>
  <c r="I91" i="3" s="1"/>
  <c r="H71" i="3"/>
  <c r="I71" i="3" s="1"/>
  <c r="H72" i="3"/>
  <c r="I72" i="3" s="1"/>
  <c r="H73" i="3"/>
  <c r="I73" i="3" s="1"/>
  <c r="H25" i="3"/>
  <c r="I25" i="3" s="1"/>
  <c r="H26" i="3"/>
  <c r="I26" i="3" s="1"/>
  <c r="H27" i="3"/>
  <c r="I27" i="3" s="1"/>
  <c r="H28" i="3"/>
  <c r="I28" i="3" s="1"/>
  <c r="H29" i="3"/>
  <c r="I29" i="3" s="1"/>
  <c r="H30" i="3"/>
  <c r="I30" i="3" s="1"/>
  <c r="H31" i="3"/>
  <c r="I31" i="3" s="1"/>
  <c r="H32" i="3"/>
  <c r="I32" i="3" s="1"/>
  <c r="H33" i="3"/>
  <c r="I33" i="3" s="1"/>
  <c r="H34" i="3"/>
  <c r="I34" i="3" s="1"/>
  <c r="H35" i="3"/>
  <c r="I35" i="3" s="1"/>
  <c r="H36" i="3"/>
  <c r="I36" i="3" s="1"/>
  <c r="P25" i="3"/>
  <c r="Q25" i="3" s="1"/>
  <c r="P26" i="3"/>
  <c r="Q26" i="3" s="1"/>
  <c r="P27" i="3"/>
  <c r="Q27" i="3" s="1"/>
  <c r="P28" i="3"/>
  <c r="Q28" i="3" s="1"/>
  <c r="P29" i="3"/>
  <c r="Q29" i="3" s="1"/>
  <c r="P30" i="3"/>
  <c r="Q30" i="3" s="1"/>
  <c r="P31" i="3"/>
  <c r="Q31" i="3" s="1"/>
  <c r="P32" i="3"/>
  <c r="Q32" i="3" s="1"/>
  <c r="P33" i="3"/>
  <c r="Q33" i="3" s="1"/>
  <c r="P34" i="3"/>
  <c r="Q34" i="3" s="1"/>
  <c r="P35" i="3"/>
  <c r="Q35" i="3" s="1"/>
  <c r="P36" i="3"/>
  <c r="Q36" i="3" s="1"/>
  <c r="P6" i="3"/>
  <c r="Q6" i="3" s="1"/>
  <c r="P7" i="3"/>
  <c r="Q7" i="3" s="1"/>
  <c r="P8" i="3"/>
  <c r="Q8" i="3" s="1"/>
  <c r="P9" i="3"/>
  <c r="Q9" i="3" s="1"/>
  <c r="P10" i="3"/>
  <c r="Q10" i="3" s="1"/>
  <c r="P11" i="3"/>
  <c r="Q11" i="3" s="1"/>
  <c r="P12" i="3"/>
  <c r="Q12" i="3" s="1"/>
  <c r="P13" i="3"/>
  <c r="Q13" i="3" s="1"/>
  <c r="P14" i="3"/>
  <c r="Q14" i="3" s="1"/>
  <c r="P15" i="3"/>
  <c r="Q15" i="3" s="1"/>
  <c r="P16" i="3"/>
  <c r="Q16" i="3" s="1"/>
  <c r="P17" i="3"/>
  <c r="Q17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79" i="3"/>
  <c r="I79" i="3" s="1"/>
  <c r="P71" i="3"/>
  <c r="Q71" i="3" s="1"/>
  <c r="P24" i="3"/>
  <c r="Q24" i="3" s="1"/>
  <c r="P5" i="3"/>
  <c r="Q5" i="3" s="1"/>
  <c r="H24" i="3" l="1"/>
  <c r="I24" i="3" s="1"/>
  <c r="H5" i="3" l="1"/>
  <c r="I5" i="3" s="1"/>
</calcChain>
</file>

<file path=xl/sharedStrings.xml><?xml version="1.0" encoding="utf-8"?>
<sst xmlns="http://schemas.openxmlformats.org/spreadsheetml/2006/main" count="109" uniqueCount="14">
  <si>
    <t>Fertile kg/m3</t>
  </si>
  <si>
    <t>D-shape</t>
  </si>
  <si>
    <t>TRITIUM BREEDING RATIO [ RXNS/SRC-N ]</t>
  </si>
  <si>
    <t>Thorium BISO</t>
  </si>
  <si>
    <t>Uranium BISO</t>
  </si>
  <si>
    <t>FISSILE PRODUCTION RATE [ RXNS/SRC-N ]</t>
  </si>
  <si>
    <t>=C/A</t>
  </si>
  <si>
    <t>DCLL-Greta</t>
  </si>
  <si>
    <t>Prism A</t>
  </si>
  <si>
    <t>Prism A stdev</t>
  </si>
  <si>
    <t>Prism C</t>
  </si>
  <si>
    <t>Prism C stdev</t>
  </si>
  <si>
    <t>=C/A stdev</t>
  </si>
  <si>
    <t>FISSION RATE [ RXNS/SRC-N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</si>
</sst>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3" borderId="0" xfId="0" applyFill="1"/>
    <xf numFmtId="11" fontId="0" fillId="3" borderId="0" xfId="0" applyNumberFormat="1" applyFill="1"/>
    <xf numFmtId="0" fontId="1" fillId="2" borderId="0" xfId="0" applyFont="1" applyFill="1"/>
    <xf numFmtId="0" fontId="0" fillId="2" borderId="0" xfId="0" applyFill="1"/>
    <xf numFmtId="164" fontId="0" fillId="0" borderId="0" xfId="0" applyNumberFormat="1"/>
    <xf numFmtId="164" fontId="0" fillId="3" borderId="0" xfId="0" applyNumberFormat="1" applyFill="1"/>
    <xf numFmtId="11" fontId="2" fillId="0" borderId="0" xfId="0" applyNumberFormat="1" applyFont="1"/>
    <xf numFmtId="0" fontId="3" fillId="0" borderId="0" xfId="0" applyFont="1"/>
    <xf numFmtId="11" fontId="4" fillId="0" borderId="0" xfId="0" applyNumberFormat="1" applyFont="1"/>
    <xf numFmtId="0" fontId="5" fillId="0" borderId="0" xfId="0" applyFont="1"/>
    <xf numFmtId="165" fontId="0" fillId="0" borderId="0" xfId="0" applyNumberFormat="1"/>
    <xf numFmtId="0" fontId="0" fillId="4" borderId="0" xfId="0" applyFill="1"/>
    <xf numFmtId="0" fontId="1" fillId="4" borderId="0" xfId="0" applyFont="1" applyFill="1"/>
    <xf numFmtId="0" fontId="1" fillId="4" borderId="0" xfId="0" quotePrefix="1" applyFont="1" applyFill="1"/>
    <xf numFmtId="0" fontId="0" fillId="5" borderId="0" xfId="0" applyFill="1"/>
    <xf numFmtId="0" fontId="1" fillId="5" borderId="0" xfId="0" applyFont="1" applyFill="1"/>
    <xf numFmtId="0" fontId="1" fillId="5" borderId="0" xfId="0" quotePrefix="1" applyFont="1" applyFill="1"/>
    <xf numFmtId="1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1'!$A$24:$A$36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1'!$H$24:$H$36</c:f>
              <c:numCache>
                <c:formatCode>0.000</c:formatCode>
                <c:ptCount val="13"/>
                <c:pt idx="0">
                  <c:v>0.67015864678428949</c:v>
                </c:pt>
                <c:pt idx="1">
                  <c:v>0.67399433743759052</c:v>
                </c:pt>
                <c:pt idx="2">
                  <c:v>0.67258163487423628</c:v>
                </c:pt>
                <c:pt idx="3">
                  <c:v>0.69883311557825745</c:v>
                </c:pt>
                <c:pt idx="4">
                  <c:v>0.73244907600666376</c:v>
                </c:pt>
                <c:pt idx="5">
                  <c:v>0.76691398093902452</c:v>
                </c:pt>
                <c:pt idx="6">
                  <c:v>0.79412199858198884</c:v>
                </c:pt>
                <c:pt idx="7">
                  <c:v>0.82771654679092965</c:v>
                </c:pt>
                <c:pt idx="8">
                  <c:v>0.87277793951821403</c:v>
                </c:pt>
                <c:pt idx="9">
                  <c:v>0.90774216971761523</c:v>
                </c:pt>
                <c:pt idx="10">
                  <c:v>0.96885985849430767</c:v>
                </c:pt>
                <c:pt idx="11">
                  <c:v>1.0035052756769365</c:v>
                </c:pt>
                <c:pt idx="12">
                  <c:v>1.0159556160581653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9A-4093-8446-03EAE435C4F9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1'!$A$24:$A$36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1'!$P$24:$P$36</c:f>
              <c:numCache>
                <c:formatCode>0.000000</c:formatCode>
                <c:ptCount val="13"/>
                <c:pt idx="0">
                  <c:v>0.85719868916492581</c:v>
                </c:pt>
                <c:pt idx="1">
                  <c:v>0.86272360378029123</c:v>
                </c:pt>
                <c:pt idx="2">
                  <c:v>0.86473422707265823</c:v>
                </c:pt>
                <c:pt idx="3">
                  <c:v>0.87150263943790185</c:v>
                </c:pt>
                <c:pt idx="4">
                  <c:v>0.8842176678721938</c:v>
                </c:pt>
                <c:pt idx="5">
                  <c:v>0.89942526896969821</c:v>
                </c:pt>
                <c:pt idx="6">
                  <c:v>0.92270745337377136</c:v>
                </c:pt>
                <c:pt idx="7">
                  <c:v>0.92487302633259483</c:v>
                </c:pt>
                <c:pt idx="8">
                  <c:v>0.95280649072651702</c:v>
                </c:pt>
                <c:pt idx="9">
                  <c:v>0.96680285364811647</c:v>
                </c:pt>
                <c:pt idx="10">
                  <c:v>0.996195710817117</c:v>
                </c:pt>
                <c:pt idx="11">
                  <c:v>1.0164077631511579</c:v>
                </c:pt>
                <c:pt idx="12">
                  <c:v>1.025113077347247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9A-4093-8446-03EAE435C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162240"/>
        <c:axId val="1123278832"/>
      </c:scatterChart>
      <c:valAx>
        <c:axId val="11541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278832"/>
        <c:crosses val="autoZero"/>
        <c:crossBetween val="midCat"/>
      </c:valAx>
      <c:valAx>
        <c:axId val="112327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162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1'!$A$5:$A$17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1'!$H$5:$H$17</c:f>
              <c:numCache>
                <c:formatCode>0.000000</c:formatCode>
                <c:ptCount val="13"/>
                <c:pt idx="0">
                  <c:v>1.0001629351709587</c:v>
                </c:pt>
                <c:pt idx="1">
                  <c:v>1.0000650261216626</c:v>
                </c:pt>
                <c:pt idx="2">
                  <c:v>0.99996036360746876</c:v>
                </c:pt>
                <c:pt idx="3">
                  <c:v>1.0005266084564297</c:v>
                </c:pt>
                <c:pt idx="4">
                  <c:v>1.0018467149465879</c:v>
                </c:pt>
                <c:pt idx="5">
                  <c:v>1.002287048308576</c:v>
                </c:pt>
                <c:pt idx="6">
                  <c:v>1.0038025582102672</c:v>
                </c:pt>
                <c:pt idx="7">
                  <c:v>1.0036838050286592</c:v>
                </c:pt>
                <c:pt idx="8">
                  <c:v>1.002467577491776</c:v>
                </c:pt>
                <c:pt idx="9">
                  <c:v>1.000596548769378</c:v>
                </c:pt>
                <c:pt idx="10">
                  <c:v>1.0015290596941282</c:v>
                </c:pt>
                <c:pt idx="11">
                  <c:v>1.0029865814925498</c:v>
                </c:pt>
                <c:pt idx="12">
                  <c:v>1.0003513071302839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AF-4FCE-B287-FF786F74DDEF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1'!$A$5:$A$17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1'!$P$5:$P$17</c:f>
              <c:numCache>
                <c:formatCode>0.000000</c:formatCode>
                <c:ptCount val="13"/>
                <c:pt idx="0">
                  <c:v>1.0001778209825207</c:v>
                </c:pt>
                <c:pt idx="1">
                  <c:v>1.0000381873265614</c:v>
                </c:pt>
                <c:pt idx="2">
                  <c:v>0.99990753724213677</c:v>
                </c:pt>
                <c:pt idx="3">
                  <c:v>1.0002355998584036</c:v>
                </c:pt>
                <c:pt idx="4">
                  <c:v>1.0004553713443167</c:v>
                </c:pt>
                <c:pt idx="5">
                  <c:v>1.0005898491614427</c:v>
                </c:pt>
                <c:pt idx="6">
                  <c:v>1.0011630341173221</c:v>
                </c:pt>
                <c:pt idx="7">
                  <c:v>1.0006238901134941</c:v>
                </c:pt>
                <c:pt idx="8">
                  <c:v>1.0042585132338837</c:v>
                </c:pt>
                <c:pt idx="9">
                  <c:v>0.99880156437237411</c:v>
                </c:pt>
                <c:pt idx="10">
                  <c:v>0.99475053432196514</c:v>
                </c:pt>
                <c:pt idx="11">
                  <c:v>1.0016645335554861</c:v>
                </c:pt>
                <c:pt idx="12">
                  <c:v>0.99641459582252734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AF-4FCE-B287-FF786F74D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340016"/>
        <c:axId val="1342342896"/>
      </c:scatterChart>
      <c:valAx>
        <c:axId val="134234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42896"/>
        <c:crosses val="autoZero"/>
        <c:crossBetween val="midCat"/>
      </c:valAx>
      <c:valAx>
        <c:axId val="134234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40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1'!$A$61:$A$73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1'!$H$61:$H$73</c:f>
              <c:numCache>
                <c:formatCode>0.000000</c:formatCode>
                <c:ptCount val="13"/>
                <c:pt idx="0">
                  <c:v>0.9999824908852174</c:v>
                </c:pt>
                <c:pt idx="1">
                  <c:v>1.0002014544619438</c:v>
                </c:pt>
                <c:pt idx="2">
                  <c:v>1.0000596469460914</c:v>
                </c:pt>
                <c:pt idx="3">
                  <c:v>1.00000611110781</c:v>
                </c:pt>
                <c:pt idx="4">
                  <c:v>1.00057608641662</c:v>
                </c:pt>
                <c:pt idx="5">
                  <c:v>0.99968342555686862</c:v>
                </c:pt>
                <c:pt idx="6">
                  <c:v>0.99817858171840435</c:v>
                </c:pt>
                <c:pt idx="7">
                  <c:v>1.0001023551568125</c:v>
                </c:pt>
                <c:pt idx="8">
                  <c:v>1.0006480034698473</c:v>
                </c:pt>
                <c:pt idx="9">
                  <c:v>1.0027093859277671</c:v>
                </c:pt>
                <c:pt idx="10">
                  <c:v>1.0002049375908553</c:v>
                </c:pt>
                <c:pt idx="11">
                  <c:v>0.99885685520863166</c:v>
                </c:pt>
                <c:pt idx="12">
                  <c:v>0.99924465510488625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88-4E6E-B386-C7DF904D6E61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1'!$A$61:$A$73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1'!$P$61:$P$73</c:f>
              <c:numCache>
                <c:formatCode>0.000000</c:formatCode>
                <c:ptCount val="13"/>
                <c:pt idx="0">
                  <c:v>1.0000859211924744</c:v>
                </c:pt>
                <c:pt idx="1">
                  <c:v>1.0001619611909021</c:v>
                </c:pt>
                <c:pt idx="2">
                  <c:v>1.0001147967856605</c:v>
                </c:pt>
                <c:pt idx="3">
                  <c:v>0.99972727168909759</c:v>
                </c:pt>
                <c:pt idx="4">
                  <c:v>1.0009621278127161</c:v>
                </c:pt>
                <c:pt idx="5">
                  <c:v>0.99965798036547726</c:v>
                </c:pt>
                <c:pt idx="6">
                  <c:v>0.99728610985822141</c:v>
                </c:pt>
                <c:pt idx="7">
                  <c:v>0.99904092814030765</c:v>
                </c:pt>
                <c:pt idx="8">
                  <c:v>0.99984894845423344</c:v>
                </c:pt>
                <c:pt idx="9">
                  <c:v>0.9997025557725211</c:v>
                </c:pt>
                <c:pt idx="10">
                  <c:v>1.0016101422064423</c:v>
                </c:pt>
                <c:pt idx="11">
                  <c:v>0.99432829011273149</c:v>
                </c:pt>
                <c:pt idx="12">
                  <c:v>0.98920834124726476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88-4E6E-B386-C7DF904D6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355856"/>
        <c:axId val="1342363056"/>
      </c:scatterChart>
      <c:valAx>
        <c:axId val="134235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63056"/>
        <c:crosses val="autoZero"/>
        <c:crossBetween val="midCat"/>
      </c:valAx>
      <c:valAx>
        <c:axId val="134236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55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1'!$A$79:$A$91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1'!$H$79:$H$91</c:f>
              <c:numCache>
                <c:formatCode>0.000000</c:formatCode>
                <c:ptCount val="13"/>
                <c:pt idx="0">
                  <c:v>1.0140569512365374</c:v>
                </c:pt>
                <c:pt idx="1">
                  <c:v>1.0381411006968115</c:v>
                </c:pt>
                <c:pt idx="2">
                  <c:v>1.041357955021911</c:v>
                </c:pt>
                <c:pt idx="3">
                  <c:v>1.0502695307623404</c:v>
                </c:pt>
                <c:pt idx="4">
                  <c:v>1.0533689559947954</c:v>
                </c:pt>
                <c:pt idx="5">
                  <c:v>1.053972343613554</c:v>
                </c:pt>
                <c:pt idx="6">
                  <c:v>1.055280764348149</c:v>
                </c:pt>
                <c:pt idx="7">
                  <c:v>1.0605026588779487</c:v>
                </c:pt>
                <c:pt idx="8">
                  <c:v>1.0606966812709036</c:v>
                </c:pt>
                <c:pt idx="9">
                  <c:v>1.0666080984436301</c:v>
                </c:pt>
                <c:pt idx="10">
                  <c:v>1.0736126000487558</c:v>
                </c:pt>
                <c:pt idx="11">
                  <c:v>1.0753318396098046</c:v>
                </c:pt>
                <c:pt idx="12">
                  <c:v>1.0416680530362807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71-4D74-B5A8-4EE6279B7B3D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1'!$A$79:$A$91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1'!$P$79:$P$91</c:f>
              <c:numCache>
                <c:formatCode>0.000000</c:formatCode>
                <c:ptCount val="13"/>
                <c:pt idx="0">
                  <c:v>1.0421829854714089</c:v>
                </c:pt>
                <c:pt idx="1">
                  <c:v>1.0468679184142133</c:v>
                </c:pt>
                <c:pt idx="2">
                  <c:v>1.0491120103788383</c:v>
                </c:pt>
                <c:pt idx="3">
                  <c:v>1.0548236283228316</c:v>
                </c:pt>
                <c:pt idx="4">
                  <c:v>1.0592976963273675</c:v>
                </c:pt>
                <c:pt idx="5">
                  <c:v>1.0599512468140793</c:v>
                </c:pt>
                <c:pt idx="6">
                  <c:v>1.0559969197962629</c:v>
                </c:pt>
                <c:pt idx="7">
                  <c:v>1.0610351455367648</c:v>
                </c:pt>
                <c:pt idx="8">
                  <c:v>1.0635211665810387</c:v>
                </c:pt>
                <c:pt idx="9">
                  <c:v>1.0673679820985291</c:v>
                </c:pt>
                <c:pt idx="10">
                  <c:v>1.0749164325098632</c:v>
                </c:pt>
                <c:pt idx="11">
                  <c:v>1.0676051493877452</c:v>
                </c:pt>
                <c:pt idx="12">
                  <c:v>1.0682957802000932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71-4D74-B5A8-4EE6279B7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380336"/>
        <c:axId val="1342369296"/>
      </c:scatterChart>
      <c:valAx>
        <c:axId val="13423803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69296"/>
        <c:crosses val="autoZero"/>
        <c:crossBetween val="midCat"/>
      </c:valAx>
      <c:valAx>
        <c:axId val="1342369296"/>
        <c:scaling>
          <c:orientation val="minMax"/>
          <c:max val="1.08"/>
          <c:min val="1.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80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1'!$A$79:$A$91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1'!$H$79:$H$91</c:f>
              <c:numCache>
                <c:formatCode>0.000000</c:formatCode>
                <c:ptCount val="13"/>
                <c:pt idx="0">
                  <c:v>1.0140569512365374</c:v>
                </c:pt>
                <c:pt idx="1">
                  <c:v>1.0381411006968115</c:v>
                </c:pt>
                <c:pt idx="2">
                  <c:v>1.041357955021911</c:v>
                </c:pt>
                <c:pt idx="3">
                  <c:v>1.0502695307623404</c:v>
                </c:pt>
                <c:pt idx="4">
                  <c:v>1.0533689559947954</c:v>
                </c:pt>
                <c:pt idx="5">
                  <c:v>1.053972343613554</c:v>
                </c:pt>
                <c:pt idx="6">
                  <c:v>1.055280764348149</c:v>
                </c:pt>
                <c:pt idx="7">
                  <c:v>1.0605026588779487</c:v>
                </c:pt>
                <c:pt idx="8">
                  <c:v>1.0606966812709036</c:v>
                </c:pt>
                <c:pt idx="9">
                  <c:v>1.0666080984436301</c:v>
                </c:pt>
                <c:pt idx="10">
                  <c:v>1.0736126000487558</c:v>
                </c:pt>
                <c:pt idx="11">
                  <c:v>1.0753318396098046</c:v>
                </c:pt>
                <c:pt idx="12">
                  <c:v>1.0416680530362807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62-4A7B-A534-AD8816811D32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1'!$A$79:$A$91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1'!$P$79:$P$91</c:f>
              <c:numCache>
                <c:formatCode>0.000000</c:formatCode>
                <c:ptCount val="13"/>
                <c:pt idx="0">
                  <c:v>1.0421829854714089</c:v>
                </c:pt>
                <c:pt idx="1">
                  <c:v>1.0468679184142133</c:v>
                </c:pt>
                <c:pt idx="2">
                  <c:v>1.0491120103788383</c:v>
                </c:pt>
                <c:pt idx="3">
                  <c:v>1.0548236283228316</c:v>
                </c:pt>
                <c:pt idx="4">
                  <c:v>1.0592976963273675</c:v>
                </c:pt>
                <c:pt idx="5">
                  <c:v>1.0599512468140793</c:v>
                </c:pt>
                <c:pt idx="6">
                  <c:v>1.0559969197962629</c:v>
                </c:pt>
                <c:pt idx="7">
                  <c:v>1.0610351455367648</c:v>
                </c:pt>
                <c:pt idx="8">
                  <c:v>1.0635211665810387</c:v>
                </c:pt>
                <c:pt idx="9">
                  <c:v>1.0673679820985291</c:v>
                </c:pt>
                <c:pt idx="10">
                  <c:v>1.0749164325098632</c:v>
                </c:pt>
                <c:pt idx="11">
                  <c:v>1.0676051493877452</c:v>
                </c:pt>
                <c:pt idx="12">
                  <c:v>1.0682957802000932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62-4A7B-A534-AD8816811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380336"/>
        <c:axId val="1342369296"/>
      </c:scatterChart>
      <c:valAx>
        <c:axId val="13423803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69296"/>
        <c:crosses val="autoZero"/>
        <c:crossBetween val="midCat"/>
      </c:valAx>
      <c:valAx>
        <c:axId val="1342369296"/>
        <c:scaling>
          <c:orientation val="minMax"/>
          <c:max val="1.08"/>
          <c:min val="1.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380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1'!$A$24:$A$36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1'!$H$24:$H$36</c:f>
              <c:numCache>
                <c:formatCode>0.000</c:formatCode>
                <c:ptCount val="13"/>
                <c:pt idx="0">
                  <c:v>0.67015864678428949</c:v>
                </c:pt>
                <c:pt idx="1">
                  <c:v>0.67399433743759052</c:v>
                </c:pt>
                <c:pt idx="2">
                  <c:v>0.67258163487423628</c:v>
                </c:pt>
                <c:pt idx="3">
                  <c:v>0.69883311557825745</c:v>
                </c:pt>
                <c:pt idx="4">
                  <c:v>0.73244907600666376</c:v>
                </c:pt>
                <c:pt idx="5">
                  <c:v>0.76691398093902452</c:v>
                </c:pt>
                <c:pt idx="6">
                  <c:v>0.79412199858198884</c:v>
                </c:pt>
                <c:pt idx="7">
                  <c:v>0.82771654679092965</c:v>
                </c:pt>
                <c:pt idx="8">
                  <c:v>0.87277793951821403</c:v>
                </c:pt>
                <c:pt idx="9">
                  <c:v>0.90774216971761523</c:v>
                </c:pt>
                <c:pt idx="10">
                  <c:v>0.96885985849430767</c:v>
                </c:pt>
                <c:pt idx="11">
                  <c:v>1.0035052756769365</c:v>
                </c:pt>
                <c:pt idx="12">
                  <c:v>1.0159556160581653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88-40A7-9744-FFC75830134C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1'!$A$24:$A$36</c:f>
              <c:numCache>
                <c:formatCode>General</c:formatCode>
                <c:ptCount val="13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100</c:v>
                </c:pt>
                <c:pt idx="8">
                  <c:v>150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  <c:pt idx="12">
                  <c:v>999.99</c:v>
                </c:pt>
              </c:numCache>
            </c:numRef>
          </c:xVal>
          <c:yVal>
            <c:numRef>
              <c:f>'Sheet 1'!$P$24:$P$36</c:f>
              <c:numCache>
                <c:formatCode>0.000000</c:formatCode>
                <c:ptCount val="13"/>
                <c:pt idx="0">
                  <c:v>0.85719868916492581</c:v>
                </c:pt>
                <c:pt idx="1">
                  <c:v>0.86272360378029123</c:v>
                </c:pt>
                <c:pt idx="2">
                  <c:v>0.86473422707265823</c:v>
                </c:pt>
                <c:pt idx="3">
                  <c:v>0.87150263943790185</c:v>
                </c:pt>
                <c:pt idx="4">
                  <c:v>0.8842176678721938</c:v>
                </c:pt>
                <c:pt idx="5">
                  <c:v>0.89942526896969821</c:v>
                </c:pt>
                <c:pt idx="6">
                  <c:v>0.92270745337377136</c:v>
                </c:pt>
                <c:pt idx="7">
                  <c:v>0.92487302633259483</c:v>
                </c:pt>
                <c:pt idx="8">
                  <c:v>0.95280649072651702</c:v>
                </c:pt>
                <c:pt idx="9">
                  <c:v>0.96680285364811647</c:v>
                </c:pt>
                <c:pt idx="10">
                  <c:v>0.996195710817117</c:v>
                </c:pt>
                <c:pt idx="11">
                  <c:v>1.0164077631511579</c:v>
                </c:pt>
                <c:pt idx="12">
                  <c:v>1.025113077347247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88-40A7-9744-FFC758301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162240"/>
        <c:axId val="1123278832"/>
      </c:scatterChart>
      <c:valAx>
        <c:axId val="11541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278832"/>
        <c:crosses val="autoZero"/>
        <c:crossBetween val="midCat"/>
      </c:valAx>
      <c:valAx>
        <c:axId val="112327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162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583097</xdr:colOff>
      <xdr:row>21</xdr:row>
      <xdr:rowOff>1</xdr:rowOff>
    </xdr:from>
    <xdr:to>
      <xdr:col>25</xdr:col>
      <xdr:colOff>278297</xdr:colOff>
      <xdr:row>35</xdr:row>
      <xdr:rowOff>145775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5D9A80-E1AA-E71B-225B-10B9F8C8D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596348</xdr:colOff>
      <xdr:row>2</xdr:row>
      <xdr:rowOff>19878</xdr:rowOff>
    </xdr:from>
    <xdr:to>
      <xdr:col>25</xdr:col>
      <xdr:colOff>291548</xdr:colOff>
      <xdr:row>16</xdr:row>
      <xdr:rowOff>165652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FB409E-0F1D-3927-8CC6-C3C817ACD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53010</xdr:colOff>
      <xdr:row>59</xdr:row>
      <xdr:rowOff>159027</xdr:rowOff>
    </xdr:from>
    <xdr:to>
      <xdr:col>25</xdr:col>
      <xdr:colOff>357810</xdr:colOff>
      <xdr:row>74</xdr:row>
      <xdr:rowOff>119270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F6E031-1B10-7A61-F473-7E5EC3DC0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417444</xdr:colOff>
      <xdr:row>76</xdr:row>
      <xdr:rowOff>152400</xdr:rowOff>
    </xdr:from>
    <xdr:to>
      <xdr:col>25</xdr:col>
      <xdr:colOff>112644</xdr:colOff>
      <xdr:row>91</xdr:row>
      <xdr:rowOff>112644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45022B1-EA92-9A14-99B5-645E9443F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417444</xdr:colOff>
      <xdr:row>94</xdr:row>
      <xdr:rowOff>152400</xdr:rowOff>
    </xdr:from>
    <xdr:to>
      <xdr:col>25</xdr:col>
      <xdr:colOff>112644</xdr:colOff>
      <xdr:row>109</xdr:row>
      <xdr:rowOff>112644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189E82-CA72-4B71-AFAB-BB81E355C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583097</xdr:colOff>
      <xdr:row>39</xdr:row>
      <xdr:rowOff>1</xdr:rowOff>
    </xdr:from>
    <xdr:to>
      <xdr:col>25</xdr:col>
      <xdr:colOff>278297</xdr:colOff>
      <xdr:row>53</xdr:row>
      <xdr:rowOff>145775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C834B8-CEE8-4D20-9A4D-2E5F10FBB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16C2-1180-4450-A3B0-0B08DD9AEC85}">
  <dimension ref="A1:Q109"/>
  <sheetViews>
    <sheetView tabSelected="1" topLeftCell="F73" zoomScale="115" zoomScaleNormal="115" workbookViewId="0">
      <selection activeCell="N94" sqref="N94"/>
    </sheetView>
  </sheetViews>
  <sheetFormatPr defaultRowHeight="14.4" x14ac:dyDescent="0.3"/>
  <cols>
    <col min="1" max="1" width="12.33203125" customWidth="1"/>
    <col min="2" max="2" width="2.109375" customWidth="1"/>
    <col min="3" max="5" width="12.21875" customWidth="1"/>
    <col min="6" max="7" width="15.88671875" customWidth="1"/>
    <col min="8" max="8" width="12.5546875" customWidth="1"/>
    <col min="9" max="9" width="15.109375" customWidth="1"/>
    <col min="10" max="10" width="2.77734375" customWidth="1"/>
    <col min="11" max="13" width="13.33203125" customWidth="1"/>
    <col min="14" max="14" width="15.5546875" customWidth="1"/>
    <col min="15" max="15" width="14.21875" customWidth="1"/>
    <col min="16" max="16" width="12.21875" customWidth="1"/>
    <col min="17" max="17" width="12.77734375" customWidth="1"/>
  </cols>
  <sheetData>
    <row r="1" spans="1:17" x14ac:dyDescent="0.3">
      <c r="K1" s="1"/>
      <c r="L1" s="1"/>
      <c r="M1" s="1"/>
      <c r="N1" s="1"/>
    </row>
    <row r="2" spans="1:17" x14ac:dyDescent="0.3">
      <c r="C2" s="11" t="s">
        <v>2</v>
      </c>
      <c r="D2" s="11"/>
      <c r="E2" s="11"/>
      <c r="F2" s="12"/>
      <c r="G2" s="12"/>
      <c r="H2" s="12"/>
      <c r="K2" s="2"/>
      <c r="L2" s="2"/>
      <c r="M2" s="2"/>
      <c r="N2" s="2"/>
    </row>
    <row r="3" spans="1:17" x14ac:dyDescent="0.3">
      <c r="C3" s="14" t="s">
        <v>4</v>
      </c>
      <c r="D3" s="14"/>
      <c r="E3" s="14"/>
      <c r="F3" s="15"/>
      <c r="G3" s="15"/>
      <c r="H3" s="15"/>
      <c r="I3" s="14"/>
      <c r="K3" s="17" t="s">
        <v>3</v>
      </c>
      <c r="L3" s="17"/>
      <c r="M3" s="18"/>
      <c r="N3" s="18"/>
      <c r="O3" s="17"/>
      <c r="P3" s="17"/>
      <c r="Q3" s="17"/>
    </row>
    <row r="4" spans="1:17" x14ac:dyDescent="0.3">
      <c r="A4" s="5" t="s">
        <v>0</v>
      </c>
      <c r="B4" s="5"/>
      <c r="C4" s="15" t="s">
        <v>1</v>
      </c>
      <c r="D4" s="15" t="s">
        <v>8</v>
      </c>
      <c r="E4" s="15" t="s">
        <v>9</v>
      </c>
      <c r="F4" s="15" t="s">
        <v>10</v>
      </c>
      <c r="G4" s="15" t="s">
        <v>11</v>
      </c>
      <c r="H4" s="16" t="s">
        <v>6</v>
      </c>
      <c r="I4" s="16" t="s">
        <v>12</v>
      </c>
      <c r="J4" s="6"/>
      <c r="K4" s="18" t="s">
        <v>1</v>
      </c>
      <c r="L4" s="18" t="s">
        <v>8</v>
      </c>
      <c r="M4" s="18" t="s">
        <v>9</v>
      </c>
      <c r="N4" s="18" t="s">
        <v>10</v>
      </c>
      <c r="O4" s="18" t="s">
        <v>11</v>
      </c>
      <c r="P4" s="19" t="s">
        <v>6</v>
      </c>
      <c r="Q4" s="19" t="s">
        <v>12</v>
      </c>
    </row>
    <row r="5" spans="1:17" x14ac:dyDescent="0.3">
      <c r="A5">
        <v>0.1</v>
      </c>
      <c r="B5" s="4"/>
      <c r="D5">
        <v>1.3891095589010301</v>
      </c>
      <c r="E5">
        <v>1.02494314460544E-4</v>
      </c>
      <c r="F5">
        <v>1.38933589370449</v>
      </c>
      <c r="G5">
        <v>1.1377551521665301E-4</v>
      </c>
      <c r="H5" s="7">
        <f t="shared" ref="H5:H17" si="0">F5/D5</f>
        <v>1.0001629351709587</v>
      </c>
      <c r="I5">
        <f>H5*((E5/D5)^2 +(G5/F5)^2)^0.5</f>
        <v>1.1024684824037706E-4</v>
      </c>
      <c r="J5" s="3"/>
      <c r="L5">
        <v>1.38908077443087</v>
      </c>
      <c r="M5">
        <v>1.0124318874365601E-4</v>
      </c>
      <c r="N5">
        <v>1.38932778213898</v>
      </c>
      <c r="O5">
        <v>1.14700118954492E-4</v>
      </c>
      <c r="P5" s="7">
        <f t="shared" ref="P5:P17" si="1">N5/L5</f>
        <v>1.0001778209825207</v>
      </c>
      <c r="Q5">
        <f>P5*((M5/L5)^2 +(O5/N5)^2)^0.5</f>
        <v>1.1014700886063438E-4</v>
      </c>
    </row>
    <row r="6" spans="1:17" x14ac:dyDescent="0.3">
      <c r="A6">
        <v>0.5</v>
      </c>
      <c r="B6" s="4"/>
      <c r="D6">
        <v>1.38907673010083</v>
      </c>
      <c r="E6">
        <v>1.52707495750366E-4</v>
      </c>
      <c r="F6">
        <v>1.3891670563732801</v>
      </c>
      <c r="G6">
        <v>1.6878154642812701E-4</v>
      </c>
      <c r="H6" s="7">
        <f t="shared" si="0"/>
        <v>1.0000650261216626</v>
      </c>
      <c r="I6">
        <f t="shared" ref="I6:I16" si="2">H6*((E6/D6)^2 +(G6/F6)^2)^0.5</f>
        <v>1.6386259048946993E-4</v>
      </c>
      <c r="J6" s="3"/>
      <c r="L6">
        <v>1.3890751130454999</v>
      </c>
      <c r="M6">
        <v>1.5633111145029499E-4</v>
      </c>
      <c r="N6">
        <v>1.38912815811046</v>
      </c>
      <c r="O6">
        <v>1.6988497331219999E-4</v>
      </c>
      <c r="P6" s="7">
        <f t="shared" si="1"/>
        <v>1.0000381873265614</v>
      </c>
      <c r="Q6">
        <f t="shared" ref="Q6:Q16" si="3">P6*((M6/L6)^2 +(O6/N6)^2)^0.5</f>
        <v>1.6620603320820275E-4</v>
      </c>
    </row>
    <row r="7" spans="1:17" x14ac:dyDescent="0.3">
      <c r="A7">
        <v>1</v>
      </c>
      <c r="B7" s="4"/>
      <c r="D7">
        <v>1.3889139640202901</v>
      </c>
      <c r="E7">
        <v>1.8201886596701201E-4</v>
      </c>
      <c r="F7">
        <v>1.3888589124812201</v>
      </c>
      <c r="G7">
        <v>1.54337152453701E-4</v>
      </c>
      <c r="H7" s="7">
        <f t="shared" si="0"/>
        <v>0.99996036360746876</v>
      </c>
      <c r="I7">
        <f t="shared" si="2"/>
        <v>1.7181641313147609E-4</v>
      </c>
      <c r="J7" s="3"/>
      <c r="L7">
        <v>1.3889046123851001</v>
      </c>
      <c r="M7">
        <v>1.70335691939932E-4</v>
      </c>
      <c r="N7">
        <v>1.38877619043423</v>
      </c>
      <c r="O7">
        <v>1.5373454905333599E-4</v>
      </c>
      <c r="P7" s="7">
        <f t="shared" si="1"/>
        <v>0.99990753724213677</v>
      </c>
      <c r="Q7">
        <f t="shared" si="3"/>
        <v>1.6519568405949642E-4</v>
      </c>
    </row>
    <row r="8" spans="1:17" x14ac:dyDescent="0.3">
      <c r="A8">
        <v>10</v>
      </c>
      <c r="B8" s="4"/>
      <c r="D8">
        <v>1.38607567014507</v>
      </c>
      <c r="E8">
        <v>3.8958612319318502E-4</v>
      </c>
      <c r="F8">
        <v>1.3868055893142199</v>
      </c>
      <c r="G8">
        <v>4.0944327607914799E-4</v>
      </c>
      <c r="H8" s="7">
        <f t="shared" si="0"/>
        <v>1.0005266084564297</v>
      </c>
      <c r="I8">
        <f t="shared" si="2"/>
        <v>4.0785290749755253E-4</v>
      </c>
      <c r="J8" s="3"/>
      <c r="L8">
        <v>1.3856175235925701</v>
      </c>
      <c r="M8">
        <v>4.5540286699321999E-4</v>
      </c>
      <c r="N8">
        <v>1.38594397488493</v>
      </c>
      <c r="O8">
        <v>4.3477128848851398E-4</v>
      </c>
      <c r="P8" s="7">
        <f t="shared" si="1"/>
        <v>1.0002355998584036</v>
      </c>
      <c r="Q8">
        <f t="shared" si="3"/>
        <v>4.5445068306877072E-4</v>
      </c>
    </row>
    <row r="9" spans="1:17" s="3" customFormat="1" x14ac:dyDescent="0.3">
      <c r="A9">
        <v>25</v>
      </c>
      <c r="B9" s="4"/>
      <c r="C9"/>
      <c r="D9">
        <v>1.37947186689904</v>
      </c>
      <c r="E9">
        <v>8.86091661857925E-4</v>
      </c>
      <c r="F9">
        <v>1.3820193582140401</v>
      </c>
      <c r="G9">
        <v>1.17898543365087E-3</v>
      </c>
      <c r="H9" s="7">
        <f t="shared" si="0"/>
        <v>1.0018467149465879</v>
      </c>
      <c r="I9">
        <f t="shared" si="2"/>
        <v>1.0698498708561776E-3</v>
      </c>
      <c r="K9"/>
      <c r="L9">
        <v>1.37951144335299</v>
      </c>
      <c r="M9">
        <v>9.6051663666235599E-4</v>
      </c>
      <c r="N9">
        <v>1.3801396333334499</v>
      </c>
      <c r="O9">
        <v>1.0536694518052999E-3</v>
      </c>
      <c r="P9" s="7">
        <f t="shared" si="1"/>
        <v>1.0004553713443167</v>
      </c>
      <c r="Q9">
        <f t="shared" si="3"/>
        <v>1.0337440128011612E-3</v>
      </c>
    </row>
    <row r="10" spans="1:17" x14ac:dyDescent="0.3">
      <c r="A10">
        <v>50</v>
      </c>
      <c r="B10" s="4"/>
      <c r="D10">
        <v>1.37231900559378</v>
      </c>
      <c r="E10">
        <v>9.8135892237590492E-4</v>
      </c>
      <c r="F10">
        <v>1.3754575654543499</v>
      </c>
      <c r="G10">
        <v>7.1929329253824501E-4</v>
      </c>
      <c r="H10" s="7">
        <f t="shared" si="0"/>
        <v>1.002287048308576</v>
      </c>
      <c r="I10">
        <f t="shared" si="2"/>
        <v>8.8794780325578441E-4</v>
      </c>
      <c r="J10" s="3"/>
      <c r="L10">
        <v>1.3703576195701299</v>
      </c>
      <c r="M10">
        <v>9.5714052610468097E-4</v>
      </c>
      <c r="N10">
        <v>1.3711659238629099</v>
      </c>
      <c r="O10">
        <v>7.5549871036543397E-4</v>
      </c>
      <c r="P10" s="7">
        <f t="shared" si="1"/>
        <v>1.0005898491614427</v>
      </c>
      <c r="Q10">
        <f t="shared" si="3"/>
        <v>8.901521419890664E-4</v>
      </c>
    </row>
    <row r="11" spans="1:17" s="3" customFormat="1" x14ac:dyDescent="0.3">
      <c r="A11">
        <v>75</v>
      </c>
      <c r="B11" s="4"/>
      <c r="C11"/>
      <c r="D11">
        <v>1.3652125452841399</v>
      </c>
      <c r="E11">
        <v>9.36891207849102E-4</v>
      </c>
      <c r="F11">
        <v>1.37040384545697</v>
      </c>
      <c r="G11">
        <v>1.1043763633645899E-3</v>
      </c>
      <c r="H11" s="7">
        <f t="shared" si="0"/>
        <v>1.0038025582102672</v>
      </c>
      <c r="I11">
        <f t="shared" si="2"/>
        <v>1.0625098571799413E-3</v>
      </c>
      <c r="K11"/>
      <c r="L11">
        <v>1.3619357177992399</v>
      </c>
      <c r="M11">
        <v>1.14642500606108E-3</v>
      </c>
      <c r="N11">
        <v>1.36351969550464</v>
      </c>
      <c r="O11">
        <v>1.0122047275674399E-3</v>
      </c>
      <c r="P11" s="7">
        <f t="shared" si="1"/>
        <v>1.0011630341173221</v>
      </c>
      <c r="Q11">
        <f t="shared" si="3"/>
        <v>1.1236427897777903E-3</v>
      </c>
    </row>
    <row r="12" spans="1:17" x14ac:dyDescent="0.3">
      <c r="A12">
        <v>100</v>
      </c>
      <c r="B12" s="4"/>
      <c r="D12">
        <v>1.35996558693921</v>
      </c>
      <c r="E12">
        <v>8.2269713778889005E-4</v>
      </c>
      <c r="F12">
        <v>1.3649754350071801</v>
      </c>
      <c r="G12">
        <v>1.0934621564654399E-3</v>
      </c>
      <c r="H12" s="7">
        <f t="shared" si="0"/>
        <v>1.0036838050286592</v>
      </c>
      <c r="I12">
        <f t="shared" si="2"/>
        <v>1.0075356465859516E-3</v>
      </c>
      <c r="J12" s="3"/>
      <c r="L12">
        <v>1.35524292294785</v>
      </c>
      <c r="M12">
        <v>9.843423979622231E-4</v>
      </c>
      <c r="N12">
        <v>1.35608844560886</v>
      </c>
      <c r="O12">
        <v>1.04376153989015E-3</v>
      </c>
      <c r="P12" s="7">
        <f t="shared" si="1"/>
        <v>1.0006238901134941</v>
      </c>
      <c r="Q12">
        <f t="shared" si="3"/>
        <v>1.0589413837370333E-3</v>
      </c>
    </row>
    <row r="13" spans="1:17" x14ac:dyDescent="0.3">
      <c r="A13">
        <v>150</v>
      </c>
      <c r="B13" s="4"/>
      <c r="D13">
        <v>1.3471169036955299</v>
      </c>
      <c r="E13">
        <v>3.4192473007070602E-3</v>
      </c>
      <c r="F13">
        <v>1.35044101904588</v>
      </c>
      <c r="G13">
        <v>3.6209913911154899E-3</v>
      </c>
      <c r="H13" s="7">
        <f t="shared" si="0"/>
        <v>1.002467577491776</v>
      </c>
      <c r="I13">
        <f t="shared" si="2"/>
        <v>3.7012678767904027E-3</v>
      </c>
      <c r="J13" s="3"/>
      <c r="L13">
        <v>1.3391565484202601</v>
      </c>
      <c r="M13">
        <v>3.4513629910370401E-3</v>
      </c>
      <c r="N13">
        <v>1.3448593643039499</v>
      </c>
      <c r="O13">
        <v>3.5460245721196499E-3</v>
      </c>
      <c r="P13" s="7">
        <f t="shared" si="1"/>
        <v>1.0042585132338837</v>
      </c>
      <c r="Q13">
        <f t="shared" si="3"/>
        <v>3.7027899524461018E-3</v>
      </c>
    </row>
    <row r="14" spans="1:17" s="3" customFormat="1" x14ac:dyDescent="0.3">
      <c r="A14">
        <v>250</v>
      </c>
      <c r="B14" s="4"/>
      <c r="C14"/>
      <c r="D14">
        <v>1.3301704109246899</v>
      </c>
      <c r="E14">
        <v>2.6701333301032298E-3</v>
      </c>
      <c r="F14">
        <v>1.3309639224463901</v>
      </c>
      <c r="G14">
        <v>2.6466416072152398E-3</v>
      </c>
      <c r="H14" s="7">
        <f t="shared" si="0"/>
        <v>1.000596548769378</v>
      </c>
      <c r="I14">
        <f t="shared" si="2"/>
        <v>2.8272285541985462E-3</v>
      </c>
      <c r="K14"/>
      <c r="L14">
        <v>1.3112710657587101</v>
      </c>
      <c r="M14">
        <v>2.67520556095646E-3</v>
      </c>
      <c r="N14">
        <v>1.3096995917960299</v>
      </c>
      <c r="O14">
        <v>2.9409916078694401E-3</v>
      </c>
      <c r="P14" s="7">
        <f t="shared" si="1"/>
        <v>0.99880156437237411</v>
      </c>
      <c r="Q14">
        <f t="shared" si="3"/>
        <v>3.030295719604469E-3</v>
      </c>
    </row>
    <row r="15" spans="1:17" x14ac:dyDescent="0.3">
      <c r="A15">
        <v>500</v>
      </c>
      <c r="B15" s="4"/>
      <c r="D15">
        <v>1.2881810524951001</v>
      </c>
      <c r="E15">
        <v>2.82817615567389E-3</v>
      </c>
      <c r="F15">
        <v>1.2901507582212099</v>
      </c>
      <c r="G15">
        <v>3.6382982434454399E-3</v>
      </c>
      <c r="H15" s="7">
        <f t="shared" si="0"/>
        <v>1.0015290596941282</v>
      </c>
      <c r="I15">
        <f t="shared" si="2"/>
        <v>3.579377630249193E-3</v>
      </c>
      <c r="J15" s="3"/>
      <c r="L15">
        <v>1.2563576950633499</v>
      </c>
      <c r="M15">
        <v>2.5050181564410701E-3</v>
      </c>
      <c r="N15">
        <v>1.2497624884637799</v>
      </c>
      <c r="O15">
        <v>2.6845051290129399E-3</v>
      </c>
      <c r="P15" s="7">
        <f t="shared" si="1"/>
        <v>0.99475053432196514</v>
      </c>
      <c r="Q15">
        <f t="shared" si="3"/>
        <v>2.9153977252420692E-3</v>
      </c>
    </row>
    <row r="16" spans="1:17" s="3" customFormat="1" x14ac:dyDescent="0.3">
      <c r="A16">
        <v>750</v>
      </c>
      <c r="B16" s="4"/>
      <c r="C16"/>
      <c r="D16">
        <v>1.24999214529804</v>
      </c>
      <c r="E16">
        <v>2.36320017159778E-3</v>
      </c>
      <c r="F16">
        <v>1.2537253487050199</v>
      </c>
      <c r="G16">
        <v>3.5797440463882701E-3</v>
      </c>
      <c r="H16" s="7">
        <f t="shared" si="0"/>
        <v>1.0029865814925498</v>
      </c>
      <c r="I16">
        <f t="shared" si="2"/>
        <v>3.4346863492251559E-3</v>
      </c>
      <c r="K16"/>
      <c r="L16">
        <v>1.20021968581256</v>
      </c>
      <c r="M16">
        <v>2.9794094197858E-3</v>
      </c>
      <c r="N16">
        <v>1.20221749175355</v>
      </c>
      <c r="O16">
        <v>2.7545952721865301E-3</v>
      </c>
      <c r="P16" s="7">
        <f t="shared" si="1"/>
        <v>1.0016645335554861</v>
      </c>
      <c r="Q16">
        <f t="shared" si="3"/>
        <v>3.3838068565250718E-3</v>
      </c>
    </row>
    <row r="17" spans="1:17" x14ac:dyDescent="0.3">
      <c r="A17">
        <v>999.99</v>
      </c>
      <c r="B17" s="4"/>
      <c r="D17">
        <v>1.2159170927577201</v>
      </c>
      <c r="E17">
        <v>3.1109769949112399E-3</v>
      </c>
      <c r="F17">
        <v>1.2163442531022399</v>
      </c>
      <c r="G17">
        <v>3.18424238805618E-3</v>
      </c>
      <c r="H17" s="7">
        <f t="shared" si="0"/>
        <v>1.0003513071302839</v>
      </c>
      <c r="I17">
        <f>H17*((E17/D17)^2 +(G17/F17)^2)^0.5</f>
        <v>3.6618101886275135E-3</v>
      </c>
      <c r="J17" s="3"/>
      <c r="L17">
        <v>1.1566240021210601</v>
      </c>
      <c r="M17">
        <v>2.5884299434418999E-3</v>
      </c>
      <c r="N17">
        <v>1.1524770375920901</v>
      </c>
      <c r="O17">
        <v>3.9762001692155704E-3</v>
      </c>
      <c r="P17" s="7">
        <f t="shared" si="1"/>
        <v>0.99641459582252734</v>
      </c>
      <c r="Q17">
        <f>P17*((M17/L17)^2 +(O17/N17)^2)^0.5</f>
        <v>4.0976394678384738E-3</v>
      </c>
    </row>
    <row r="21" spans="1:17" x14ac:dyDescent="0.3">
      <c r="C21" s="9" t="s">
        <v>5</v>
      </c>
      <c r="D21" s="9"/>
      <c r="E21" s="9"/>
      <c r="F21" s="10"/>
      <c r="G21" s="10"/>
      <c r="H21" s="10"/>
      <c r="I21" s="10"/>
      <c r="K21" s="2"/>
      <c r="L21" s="2"/>
      <c r="M21" s="2"/>
      <c r="N21" s="2"/>
    </row>
    <row r="22" spans="1:17" x14ac:dyDescent="0.3">
      <c r="C22" s="14" t="s">
        <v>4</v>
      </c>
      <c r="D22" s="14"/>
      <c r="E22" s="14"/>
      <c r="F22" s="15"/>
      <c r="G22" s="15"/>
      <c r="H22" s="15"/>
      <c r="I22" s="14"/>
      <c r="K22" s="17" t="s">
        <v>3</v>
      </c>
      <c r="L22" s="17"/>
      <c r="M22" s="18"/>
      <c r="N22" s="18"/>
      <c r="O22" s="17"/>
      <c r="P22" s="17"/>
      <c r="Q22" s="17"/>
    </row>
    <row r="23" spans="1:17" x14ac:dyDescent="0.3">
      <c r="A23" s="5" t="s">
        <v>0</v>
      </c>
      <c r="B23" s="5"/>
      <c r="C23" s="15" t="s">
        <v>1</v>
      </c>
      <c r="D23" s="15" t="s">
        <v>8</v>
      </c>
      <c r="E23" s="15" t="s">
        <v>9</v>
      </c>
      <c r="F23" s="15" t="s">
        <v>10</v>
      </c>
      <c r="G23" s="15" t="s">
        <v>11</v>
      </c>
      <c r="H23" s="16" t="s">
        <v>6</v>
      </c>
      <c r="I23" s="16" t="s">
        <v>12</v>
      </c>
      <c r="J23" s="6"/>
      <c r="K23" s="18" t="s">
        <v>1</v>
      </c>
      <c r="L23" s="18" t="s">
        <v>8</v>
      </c>
      <c r="M23" s="18" t="s">
        <v>9</v>
      </c>
      <c r="N23" s="18" t="s">
        <v>10</v>
      </c>
      <c r="O23" s="18" t="s">
        <v>11</v>
      </c>
      <c r="P23" s="19" t="s">
        <v>6</v>
      </c>
      <c r="Q23" s="19" t="s">
        <v>12</v>
      </c>
    </row>
    <row r="24" spans="1:17" x14ac:dyDescent="0.3">
      <c r="A24">
        <v>0.1</v>
      </c>
      <c r="B24" s="4"/>
      <c r="C24" s="2"/>
      <c r="D24" s="2">
        <v>3.4601339198647797E-5</v>
      </c>
      <c r="E24" s="2">
        <v>1.22883732368375E-8</v>
      </c>
      <c r="F24" s="2">
        <v>2.3188386654289999E-5</v>
      </c>
      <c r="G24" s="2">
        <v>2.5713213345718999E-7</v>
      </c>
      <c r="H24" s="13">
        <f t="shared" ref="H24:H36" si="4">F24/D24</f>
        <v>0.67015864678428949</v>
      </c>
      <c r="I24">
        <f>H24*((E24/D24)^2 +(G24/F24)^2)^0.5</f>
        <v>7.4350871718769813E-3</v>
      </c>
      <c r="J24" s="3"/>
      <c r="K24" s="2"/>
      <c r="L24" s="2">
        <v>3.0213736630210799E-5</v>
      </c>
      <c r="M24" s="2">
        <v>6.2814290600429797E-9</v>
      </c>
      <c r="N24" s="2">
        <v>2.5899175434190999E-5</v>
      </c>
      <c r="O24" s="2">
        <v>2.22045923443069E-7</v>
      </c>
      <c r="P24" s="7">
        <f t="shared" ref="P24:P36" si="5">N24/L24</f>
        <v>0.85719868916492581</v>
      </c>
      <c r="Q24">
        <f>P24*((M24/L24)^2 +(O24/N24)^2)^0.5</f>
        <v>7.3513316350502867E-3</v>
      </c>
    </row>
    <row r="25" spans="1:17" x14ac:dyDescent="0.3">
      <c r="A25">
        <v>0.5</v>
      </c>
      <c r="B25" s="4"/>
      <c r="D25">
        <v>1.7267075850167999E-4</v>
      </c>
      <c r="E25" s="2">
        <v>7.3730405114227898E-8</v>
      </c>
      <c r="F25">
        <v>1.16379113471186E-4</v>
      </c>
      <c r="G25" s="2">
        <v>4.9685826902563597E-7</v>
      </c>
      <c r="H25" s="13">
        <f t="shared" si="4"/>
        <v>0.67399433743759052</v>
      </c>
      <c r="I25">
        <f t="shared" ref="I25:I35" si="6">H25*((E25/D25)^2 +(G25/F25)^2)^0.5</f>
        <v>2.8918456475792078E-3</v>
      </c>
      <c r="J25" s="3"/>
      <c r="L25">
        <v>1.50989540407932E-4</v>
      </c>
      <c r="M25" s="2">
        <v>4.1276616778068897E-8</v>
      </c>
      <c r="N25">
        <v>1.3026224043386099E-4</v>
      </c>
      <c r="O25" s="2">
        <v>5.73466194555137E-7</v>
      </c>
      <c r="P25" s="7">
        <f t="shared" si="5"/>
        <v>0.86272360378029123</v>
      </c>
      <c r="Q25">
        <f t="shared" ref="Q25:Q35" si="7">P25*((M25/L25)^2 +(O25/N25)^2)^0.5</f>
        <v>3.8053680353437123E-3</v>
      </c>
    </row>
    <row r="26" spans="1:17" x14ac:dyDescent="0.3">
      <c r="A26">
        <v>1</v>
      </c>
      <c r="B26" s="4"/>
      <c r="D26">
        <v>3.4444202449192702E-4</v>
      </c>
      <c r="E26" s="2">
        <v>1.02701859340892E-7</v>
      </c>
      <c r="F26">
        <v>2.31665379952172E-4</v>
      </c>
      <c r="G26" s="2">
        <v>6.9232886194979901E-7</v>
      </c>
      <c r="H26" s="13">
        <f t="shared" si="4"/>
        <v>0.67258163487423628</v>
      </c>
      <c r="I26">
        <f t="shared" si="6"/>
        <v>2.0199806972425911E-3</v>
      </c>
      <c r="J26" s="3"/>
      <c r="L26">
        <v>3.0170617519809301E-4</v>
      </c>
      <c r="M26" s="2">
        <v>8.1667143013063195E-8</v>
      </c>
      <c r="N26">
        <v>2.6089565621297098E-4</v>
      </c>
      <c r="O26" s="2">
        <v>6.2257504496774401E-7</v>
      </c>
      <c r="P26" s="7">
        <f t="shared" si="5"/>
        <v>0.86473422707265823</v>
      </c>
      <c r="Q26">
        <f t="shared" si="7"/>
        <v>2.0767475932791379E-3</v>
      </c>
    </row>
    <row r="27" spans="1:17" x14ac:dyDescent="0.3">
      <c r="A27">
        <v>10</v>
      </c>
      <c r="B27" s="4"/>
      <c r="D27">
        <v>3.33054467027722E-3</v>
      </c>
      <c r="E27" s="2">
        <v>3.1023196230951202E-6</v>
      </c>
      <c r="F27">
        <v>2.3274949085023899E-3</v>
      </c>
      <c r="G27" s="2">
        <v>7.3576810457546899E-6</v>
      </c>
      <c r="H27" s="13">
        <f t="shared" si="4"/>
        <v>0.69883311557825745</v>
      </c>
      <c r="I27">
        <f t="shared" si="6"/>
        <v>2.3030599218682355E-3</v>
      </c>
      <c r="J27" s="3"/>
      <c r="L27">
        <v>2.97750983471892E-3</v>
      </c>
      <c r="M27" s="2">
        <v>2.7512545520394498E-6</v>
      </c>
      <c r="N27">
        <v>2.5949076799098498E-3</v>
      </c>
      <c r="O27" s="2">
        <v>5.6804576370084801E-6</v>
      </c>
      <c r="P27" s="7">
        <f t="shared" si="5"/>
        <v>0.87150263943790185</v>
      </c>
      <c r="Q27">
        <f t="shared" si="7"/>
        <v>2.0707798442735998E-3</v>
      </c>
    </row>
    <row r="28" spans="1:17" x14ac:dyDescent="0.3">
      <c r="A28">
        <v>25</v>
      </c>
      <c r="B28" s="4"/>
      <c r="D28">
        <v>7.9007108136224906E-3</v>
      </c>
      <c r="E28" s="2">
        <v>2.1579374269995798E-5</v>
      </c>
      <c r="F28">
        <v>5.7868683352336496E-3</v>
      </c>
      <c r="G28" s="2">
        <v>2.2153397083295701E-5</v>
      </c>
      <c r="H28" s="13">
        <f t="shared" si="4"/>
        <v>0.73244907600666376</v>
      </c>
      <c r="I28">
        <f t="shared" si="6"/>
        <v>3.444486925796071E-3</v>
      </c>
      <c r="J28" s="3"/>
      <c r="L28">
        <v>7.2854691465075302E-3</v>
      </c>
      <c r="M28" s="2">
        <v>1.0595331155121401E-5</v>
      </c>
      <c r="N28">
        <v>6.4419405380797103E-3</v>
      </c>
      <c r="O28" s="2">
        <v>3.0640812604159097E-5</v>
      </c>
      <c r="P28" s="7">
        <f t="shared" si="5"/>
        <v>0.8842176678721938</v>
      </c>
      <c r="Q28">
        <f t="shared" si="7"/>
        <v>4.3979408323316831E-3</v>
      </c>
    </row>
    <row r="29" spans="1:17" x14ac:dyDescent="0.3">
      <c r="A29">
        <v>50</v>
      </c>
      <c r="B29" s="4"/>
      <c r="D29">
        <v>1.48099690035684E-2</v>
      </c>
      <c r="E29" s="2">
        <v>3.5619384608241799E-5</v>
      </c>
      <c r="F29">
        <v>1.1357972286110201E-2</v>
      </c>
      <c r="G29" s="2">
        <v>3.9960656049596501E-5</v>
      </c>
      <c r="H29" s="13">
        <f t="shared" si="4"/>
        <v>0.76691398093902452</v>
      </c>
      <c r="I29">
        <f t="shared" si="6"/>
        <v>3.2684265997479276E-3</v>
      </c>
      <c r="J29" s="3"/>
      <c r="L29">
        <v>1.4085686693042001E-2</v>
      </c>
      <c r="M29" s="2">
        <v>2.6440325603855101E-5</v>
      </c>
      <c r="N29">
        <v>1.26690225425122E-2</v>
      </c>
      <c r="O29" s="2">
        <v>3.9839492384589098E-5</v>
      </c>
      <c r="P29" s="7">
        <f t="shared" si="5"/>
        <v>0.89942526896969821</v>
      </c>
      <c r="Q29">
        <f t="shared" si="7"/>
        <v>3.2939448706370833E-3</v>
      </c>
    </row>
    <row r="30" spans="1:17" x14ac:dyDescent="0.3">
      <c r="A30">
        <v>75</v>
      </c>
      <c r="B30" s="4"/>
      <c r="D30">
        <v>2.1060130702738999E-2</v>
      </c>
      <c r="E30" s="2">
        <v>3.0830038687911403E-5</v>
      </c>
      <c r="F30">
        <v>1.6724313084056999E-2</v>
      </c>
      <c r="G30" s="2">
        <v>4.6773312275541899E-5</v>
      </c>
      <c r="H30" s="13">
        <f t="shared" si="4"/>
        <v>0.79412199858198884</v>
      </c>
      <c r="I30">
        <f t="shared" si="6"/>
        <v>2.506797039006772E-3</v>
      </c>
      <c r="J30" s="3"/>
      <c r="L30">
        <v>2.04540679886334E-2</v>
      </c>
      <c r="M30" s="2">
        <v>4.0017362438723199E-5</v>
      </c>
      <c r="N30">
        <v>1.8873120984925901E-2</v>
      </c>
      <c r="O30" s="2">
        <v>3.9932428547215201E-5</v>
      </c>
      <c r="P30" s="7">
        <f t="shared" si="5"/>
        <v>0.92270745337377136</v>
      </c>
      <c r="Q30">
        <f t="shared" si="7"/>
        <v>2.6590083093148533E-3</v>
      </c>
    </row>
    <row r="31" spans="1:17" x14ac:dyDescent="0.3">
      <c r="A31">
        <v>100</v>
      </c>
      <c r="B31" s="4"/>
      <c r="D31">
        <v>2.67600755292417E-2</v>
      </c>
      <c r="E31" s="2">
        <v>6.1301138330409899E-5</v>
      </c>
      <c r="F31">
        <v>2.2149757308928399E-2</v>
      </c>
      <c r="G31" s="2">
        <v>5.1020148947823797E-5</v>
      </c>
      <c r="H31" s="13">
        <f t="shared" si="4"/>
        <v>0.82771654679092965</v>
      </c>
      <c r="I31">
        <f t="shared" si="6"/>
        <v>2.6889139523652702E-3</v>
      </c>
      <c r="J31" s="3"/>
      <c r="L31">
        <v>2.6686341725694201E-2</v>
      </c>
      <c r="M31" s="2">
        <v>4.6488373284998899E-5</v>
      </c>
      <c r="N31">
        <v>2.4681477633588599E-2</v>
      </c>
      <c r="O31" s="2">
        <v>4.3554638662226E-5</v>
      </c>
      <c r="P31" s="7">
        <f t="shared" si="5"/>
        <v>0.92487302633259483</v>
      </c>
      <c r="Q31">
        <f t="shared" si="7"/>
        <v>2.2933719536386309E-3</v>
      </c>
    </row>
    <row r="32" spans="1:17" x14ac:dyDescent="0.3">
      <c r="A32">
        <v>150</v>
      </c>
      <c r="B32" s="4"/>
      <c r="D32">
        <v>3.6782709718709998E-2</v>
      </c>
      <c r="E32">
        <v>1.97489580151579E-4</v>
      </c>
      <c r="F32">
        <v>3.2103137598192298E-2</v>
      </c>
      <c r="G32">
        <v>2.08831333646651E-4</v>
      </c>
      <c r="H32" s="13">
        <f t="shared" si="4"/>
        <v>0.87277793951821403</v>
      </c>
      <c r="I32">
        <f t="shared" si="6"/>
        <v>7.3615233968889766E-3</v>
      </c>
      <c r="J32" s="3"/>
      <c r="L32">
        <v>3.7924637387248702E-2</v>
      </c>
      <c r="M32">
        <v>1.8428567575269999E-4</v>
      </c>
      <c r="N32">
        <v>3.6134840661020101E-2</v>
      </c>
      <c r="O32">
        <v>2.42482884021072E-4</v>
      </c>
      <c r="P32" s="7">
        <f t="shared" si="5"/>
        <v>0.95280649072651702</v>
      </c>
      <c r="Q32">
        <f t="shared" si="7"/>
        <v>7.8941171734471308E-3</v>
      </c>
    </row>
    <row r="33" spans="1:17" x14ac:dyDescent="0.3">
      <c r="A33">
        <v>250</v>
      </c>
      <c r="B33" s="4"/>
      <c r="D33">
        <v>5.6309750104400702E-2</v>
      </c>
      <c r="E33">
        <v>2.51687827781958E-4</v>
      </c>
      <c r="F33">
        <v>5.1114734736025402E-2</v>
      </c>
      <c r="G33">
        <v>2.8833834514146198E-4</v>
      </c>
      <c r="H33" s="13">
        <f t="shared" si="4"/>
        <v>0.90774216971761523</v>
      </c>
      <c r="I33">
        <f t="shared" si="6"/>
        <v>6.5331679556135417E-3</v>
      </c>
      <c r="J33" s="3"/>
      <c r="L33">
        <v>5.9331126295057199E-2</v>
      </c>
      <c r="M33">
        <v>2.7677924057614001E-4</v>
      </c>
      <c r="N33">
        <v>5.7361502212218099E-2</v>
      </c>
      <c r="O33">
        <v>2.3849126374357799E-4</v>
      </c>
      <c r="P33" s="7">
        <f t="shared" si="5"/>
        <v>0.96680285364811647</v>
      </c>
      <c r="Q33">
        <f t="shared" si="7"/>
        <v>6.041436975368881E-3</v>
      </c>
    </row>
    <row r="34" spans="1:17" x14ac:dyDescent="0.3">
      <c r="A34">
        <v>500</v>
      </c>
      <c r="B34" s="4"/>
      <c r="D34">
        <v>9.4384365104793602E-2</v>
      </c>
      <c r="E34">
        <v>3.7802904257795602E-4</v>
      </c>
      <c r="F34">
        <v>9.1445222619505398E-2</v>
      </c>
      <c r="G34">
        <v>4.4906828447954003E-4</v>
      </c>
      <c r="H34" s="13">
        <f t="shared" si="4"/>
        <v>0.96885985849430767</v>
      </c>
      <c r="I34">
        <f t="shared" si="6"/>
        <v>6.1396636178584303E-3</v>
      </c>
      <c r="J34" s="3"/>
      <c r="L34">
        <v>0.102482458976092</v>
      </c>
      <c r="M34">
        <v>2.9595828587883197E-4</v>
      </c>
      <c r="N34">
        <v>0.102092586065974</v>
      </c>
      <c r="O34">
        <v>4.88706826404386E-4</v>
      </c>
      <c r="P34" s="7">
        <f t="shared" si="5"/>
        <v>0.996195710817117</v>
      </c>
      <c r="Q34">
        <f t="shared" si="7"/>
        <v>5.5692878927237057E-3</v>
      </c>
    </row>
    <row r="35" spans="1:17" x14ac:dyDescent="0.3">
      <c r="A35">
        <v>750</v>
      </c>
      <c r="B35" s="4"/>
      <c r="D35">
        <v>0.12681392305883499</v>
      </c>
      <c r="E35">
        <v>3.7117560576619898E-4</v>
      </c>
      <c r="F35">
        <v>0.12725844081883</v>
      </c>
      <c r="G35">
        <v>3.9277512684765298E-4</v>
      </c>
      <c r="H35" s="13">
        <f t="shared" si="4"/>
        <v>1.0035052756769365</v>
      </c>
      <c r="I35">
        <f t="shared" si="6"/>
        <v>4.2684987159538603E-3</v>
      </c>
      <c r="J35" s="3"/>
      <c r="L35">
        <v>0.13877899849488601</v>
      </c>
      <c r="M35">
        <v>4.2009114228035198E-4</v>
      </c>
      <c r="N35">
        <v>0.14105605143254499</v>
      </c>
      <c r="O35">
        <v>6.4618904182841804E-4</v>
      </c>
      <c r="P35" s="7">
        <f t="shared" si="5"/>
        <v>1.0164077631511579</v>
      </c>
      <c r="Q35">
        <f t="shared" si="7"/>
        <v>5.5809331857695158E-3</v>
      </c>
    </row>
    <row r="36" spans="1:17" x14ac:dyDescent="0.3">
      <c r="A36">
        <v>999.99</v>
      </c>
      <c r="B36" s="4"/>
      <c r="D36">
        <v>0.15510900896549801</v>
      </c>
      <c r="E36">
        <v>5.7851797067085496E-4</v>
      </c>
      <c r="F36">
        <v>0.157583868759714</v>
      </c>
      <c r="G36">
        <v>5.8700051779191705E-4</v>
      </c>
      <c r="H36" s="13">
        <f t="shared" si="4"/>
        <v>1.0159556160581653</v>
      </c>
      <c r="I36">
        <f>H36*((E36/D36)^2 +(G36/F36)^2)^0.5</f>
        <v>5.3554157048239367E-3</v>
      </c>
      <c r="J36" s="3"/>
      <c r="L36">
        <v>0.16969831628755799</v>
      </c>
      <c r="M36">
        <v>6.3046734962274005E-4</v>
      </c>
      <c r="N36">
        <v>0.17395996323018501</v>
      </c>
      <c r="O36">
        <v>7.9326262337449101E-4</v>
      </c>
      <c r="P36" s="7">
        <f t="shared" si="5"/>
        <v>1.025113077347247</v>
      </c>
      <c r="Q36">
        <f>P36*((M36/L36)^2 +(O36/N36)^2)^0.5</f>
        <v>6.0296141732043276E-3</v>
      </c>
    </row>
    <row r="37" spans="1:17" x14ac:dyDescent="0.3">
      <c r="B37" s="4"/>
      <c r="H37" s="13"/>
      <c r="J37" s="3"/>
      <c r="P37" s="7"/>
    </row>
    <row r="39" spans="1:17" x14ac:dyDescent="0.3">
      <c r="C39" s="9" t="s">
        <v>13</v>
      </c>
      <c r="D39" s="9"/>
      <c r="E39" s="9"/>
      <c r="F39" s="10"/>
      <c r="G39" s="10"/>
      <c r="H39" s="10"/>
      <c r="I39" s="10"/>
      <c r="K39" s="2"/>
      <c r="L39" s="2"/>
      <c r="M39" s="2"/>
      <c r="N39" s="2"/>
    </row>
    <row r="40" spans="1:17" x14ac:dyDescent="0.3">
      <c r="C40" s="14" t="s">
        <v>4</v>
      </c>
      <c r="D40" s="14"/>
      <c r="E40" s="14"/>
      <c r="F40" s="15"/>
      <c r="G40" s="15"/>
      <c r="H40" s="15"/>
      <c r="I40" s="14"/>
      <c r="K40" s="17" t="s">
        <v>3</v>
      </c>
      <c r="L40" s="17"/>
      <c r="M40" s="18"/>
      <c r="N40" s="18"/>
      <c r="O40" s="17"/>
      <c r="P40" s="17"/>
      <c r="Q40" s="17"/>
    </row>
    <row r="41" spans="1:17" x14ac:dyDescent="0.3">
      <c r="A41" s="5" t="s">
        <v>0</v>
      </c>
      <c r="B41" s="5"/>
      <c r="C41" s="15" t="s">
        <v>1</v>
      </c>
      <c r="D41" s="15" t="s">
        <v>8</v>
      </c>
      <c r="E41" s="15" t="s">
        <v>9</v>
      </c>
      <c r="F41" s="15" t="s">
        <v>10</v>
      </c>
      <c r="G41" s="15" t="s">
        <v>11</v>
      </c>
      <c r="H41" s="16" t="s">
        <v>6</v>
      </c>
      <c r="I41" s="16" t="s">
        <v>12</v>
      </c>
      <c r="J41" s="6"/>
      <c r="K41" s="18" t="s">
        <v>1</v>
      </c>
      <c r="L41" s="18" t="s">
        <v>8</v>
      </c>
      <c r="M41" s="18" t="s">
        <v>9</v>
      </c>
      <c r="N41" s="18" t="s">
        <v>10</v>
      </c>
      <c r="O41" s="18" t="s">
        <v>11</v>
      </c>
      <c r="P41" s="19" t="s">
        <v>6</v>
      </c>
      <c r="Q41" s="19" t="s">
        <v>12</v>
      </c>
    </row>
    <row r="42" spans="1:17" x14ac:dyDescent="0.3">
      <c r="A42">
        <v>0.1</v>
      </c>
      <c r="B42" s="4"/>
      <c r="C42" s="2"/>
      <c r="D42" s="2">
        <v>3.1823783667320202E-6</v>
      </c>
      <c r="E42" s="2">
        <v>4.1159886287402301E-10</v>
      </c>
      <c r="F42" s="2">
        <v>3.4389546303583601E-6</v>
      </c>
      <c r="G42" s="2">
        <v>7.2754924795352899E-9</v>
      </c>
      <c r="H42" s="13">
        <f t="shared" ref="H42:H54" si="8">F42/D42</f>
        <v>1.0806240597625159</v>
      </c>
      <c r="I42">
        <f>H42*((E42/D42)^2 +(G42/F42)^2)^0.5</f>
        <v>2.2904490835581361E-3</v>
      </c>
      <c r="J42" s="3"/>
      <c r="K42" s="2"/>
      <c r="L42" s="2">
        <v>8.9904449370964804E-7</v>
      </c>
      <c r="M42" s="2">
        <v>1.2821299860299399E-10</v>
      </c>
      <c r="N42" s="2">
        <v>9.7063326902119801E-7</v>
      </c>
      <c r="O42" s="2">
        <v>2.34278184812804E-9</v>
      </c>
      <c r="P42" s="7">
        <f t="shared" ref="P42:P54" si="9">N42/L42</f>
        <v>1.0796276222283054</v>
      </c>
      <c r="Q42">
        <f>P42*((M42/L42)^2 +(O42/N42)^2)^0.5</f>
        <v>2.6104020588503659E-3</v>
      </c>
    </row>
    <row r="43" spans="1:17" x14ac:dyDescent="0.3">
      <c r="A43">
        <v>0.5</v>
      </c>
      <c r="B43" s="4"/>
      <c r="D43" s="2">
        <v>1.6000871976086401E-5</v>
      </c>
      <c r="E43" s="2">
        <v>1.8077035460066801E-9</v>
      </c>
      <c r="F43" s="2">
        <v>1.7406241259005801E-5</v>
      </c>
      <c r="G43" s="2">
        <v>1.6560027342357799E-8</v>
      </c>
      <c r="H43" s="13">
        <f t="shared" si="8"/>
        <v>1.0878307935354867</v>
      </c>
      <c r="I43">
        <f t="shared" ref="I43:I53" si="10">H43*((E43/D43)^2 +(G43/F43)^2)^0.5</f>
        <v>1.0422167294252094E-3</v>
      </c>
      <c r="J43" s="3"/>
      <c r="L43" s="2">
        <v>4.5212579889347804E-6</v>
      </c>
      <c r="M43" s="2">
        <v>5.3867868502524305E-10</v>
      </c>
      <c r="N43" s="2">
        <v>4.9130489454613299E-6</v>
      </c>
      <c r="O43" s="2">
        <v>4.9708765251656597E-9</v>
      </c>
      <c r="P43" s="7">
        <f t="shared" si="9"/>
        <v>1.0866552975931498</v>
      </c>
      <c r="Q43">
        <f t="shared" ref="Q43:Q53" si="11">P43*((M43/L43)^2 +(O43/N43)^2)^0.5</f>
        <v>1.1070421177898828E-3</v>
      </c>
    </row>
    <row r="44" spans="1:17" x14ac:dyDescent="0.3">
      <c r="A44">
        <v>1</v>
      </c>
      <c r="B44" s="4"/>
      <c r="D44" s="2">
        <v>3.2035093398018297E-5</v>
      </c>
      <c r="E44" s="2">
        <v>3.6301326712904198E-9</v>
      </c>
      <c r="F44" s="2">
        <v>3.4905945803773603E-5</v>
      </c>
      <c r="G44" s="2">
        <v>3.0128552778278198E-8</v>
      </c>
      <c r="H44" s="13">
        <f t="shared" si="8"/>
        <v>1.0896158587735816</v>
      </c>
      <c r="I44">
        <f t="shared" si="10"/>
        <v>9.4855633081543855E-4</v>
      </c>
      <c r="J44" s="3"/>
      <c r="L44" s="2">
        <v>9.0521934433886801E-6</v>
      </c>
      <c r="M44" s="2">
        <v>1.0936079336944401E-9</v>
      </c>
      <c r="N44" s="2">
        <v>9.8552203174057406E-6</v>
      </c>
      <c r="O44" s="2">
        <v>8.7519244572112492E-9</v>
      </c>
      <c r="P44" s="7">
        <f t="shared" si="9"/>
        <v>1.0887107504981077</v>
      </c>
      <c r="Q44">
        <f t="shared" si="11"/>
        <v>9.7573479056481415E-4</v>
      </c>
    </row>
    <row r="45" spans="1:17" x14ac:dyDescent="0.3">
      <c r="A45">
        <v>10</v>
      </c>
      <c r="B45" s="4"/>
      <c r="D45">
        <v>3.2041283539142699E-4</v>
      </c>
      <c r="E45" s="2">
        <v>1.03089800141475E-7</v>
      </c>
      <c r="F45">
        <v>3.5175355668395599E-4</v>
      </c>
      <c r="G45" s="2">
        <v>3.24163031926656E-7</v>
      </c>
      <c r="H45" s="13">
        <f t="shared" si="8"/>
        <v>1.0978135637239441</v>
      </c>
      <c r="I45">
        <f t="shared" si="10"/>
        <v>1.0715892980094322E-3</v>
      </c>
      <c r="J45" s="3"/>
      <c r="L45" s="2">
        <v>9.05395895200175E-5</v>
      </c>
      <c r="M45" s="2">
        <v>3.0609885520008502E-8</v>
      </c>
      <c r="N45" s="2">
        <v>9.9327854603406304E-5</v>
      </c>
      <c r="O45" s="2">
        <v>9.6867588469887695E-8</v>
      </c>
      <c r="P45" s="7">
        <f t="shared" si="9"/>
        <v>1.0970654398808137</v>
      </c>
      <c r="Q45">
        <f t="shared" si="11"/>
        <v>1.1323582189431058E-3</v>
      </c>
    </row>
    <row r="46" spans="1:17" x14ac:dyDescent="0.3">
      <c r="A46">
        <v>25</v>
      </c>
      <c r="B46" s="4"/>
      <c r="D46">
        <v>7.9832852090792796E-4</v>
      </c>
      <c r="E46" s="2">
        <v>6.4380828459592396E-7</v>
      </c>
      <c r="F46">
        <v>8.7467769000268295E-4</v>
      </c>
      <c r="G46" s="2">
        <v>1.03125836480735E-6</v>
      </c>
      <c r="H46" s="13">
        <f t="shared" si="8"/>
        <v>1.0956362789192651</v>
      </c>
      <c r="I46">
        <f t="shared" si="10"/>
        <v>1.5650469392181556E-3</v>
      </c>
      <c r="J46" s="3"/>
      <c r="L46">
        <v>2.25447641878588E-4</v>
      </c>
      <c r="M46" s="2">
        <v>1.7922454183224899E-7</v>
      </c>
      <c r="N46">
        <v>2.4682978389793902E-4</v>
      </c>
      <c r="O46" s="2">
        <v>3.0793317165798302E-7</v>
      </c>
      <c r="P46" s="7">
        <f t="shared" si="9"/>
        <v>1.0948430502141429</v>
      </c>
      <c r="Q46">
        <f t="shared" si="11"/>
        <v>1.6196160028921747E-3</v>
      </c>
    </row>
    <row r="47" spans="1:17" x14ac:dyDescent="0.3">
      <c r="A47">
        <v>50</v>
      </c>
      <c r="B47" s="4"/>
      <c r="D47">
        <v>1.5863990621956901E-3</v>
      </c>
      <c r="E47" s="2">
        <v>6.9872049483164404E-7</v>
      </c>
      <c r="F47">
        <v>1.7451813935783799E-3</v>
      </c>
      <c r="G47" s="2">
        <v>2.15270592824618E-6</v>
      </c>
      <c r="H47" s="13">
        <f t="shared" si="8"/>
        <v>1.1000897789002244</v>
      </c>
      <c r="I47">
        <f t="shared" si="10"/>
        <v>1.4408859671880526E-3</v>
      </c>
      <c r="J47" s="3"/>
      <c r="L47">
        <v>4.4798082499880598E-4</v>
      </c>
      <c r="M47" s="2">
        <v>2.3058578537097299E-7</v>
      </c>
      <c r="N47">
        <v>4.9222836447885903E-4</v>
      </c>
      <c r="O47" s="2">
        <v>6.1981830802032001E-7</v>
      </c>
      <c r="P47" s="7">
        <f t="shared" si="9"/>
        <v>1.098771056730321</v>
      </c>
      <c r="Q47">
        <f t="shared" si="11"/>
        <v>1.4947107742180631E-3</v>
      </c>
    </row>
    <row r="48" spans="1:17" x14ac:dyDescent="0.3">
      <c r="A48">
        <v>75</v>
      </c>
      <c r="B48" s="4"/>
      <c r="D48">
        <v>2.3694633374357899E-3</v>
      </c>
      <c r="E48" s="2">
        <v>2.0409182758839298E-6</v>
      </c>
      <c r="F48">
        <v>2.6035551899146001E-3</v>
      </c>
      <c r="G48" s="2">
        <v>1.69836561383817E-6</v>
      </c>
      <c r="H48" s="13">
        <f t="shared" si="8"/>
        <v>1.098795304734338</v>
      </c>
      <c r="I48">
        <f t="shared" si="10"/>
        <v>1.1872271872232696E-3</v>
      </c>
      <c r="J48" s="3"/>
      <c r="L48">
        <v>6.6839992871854095E-4</v>
      </c>
      <c r="M48" s="2">
        <v>5.4020479758105504E-7</v>
      </c>
      <c r="N48">
        <v>7.3347330304254701E-4</v>
      </c>
      <c r="O48" s="2">
        <v>5.1651453397623897E-7</v>
      </c>
      <c r="P48" s="7">
        <f t="shared" si="9"/>
        <v>1.0973569438416384</v>
      </c>
      <c r="Q48">
        <f t="shared" si="11"/>
        <v>1.176323419733072E-3</v>
      </c>
    </row>
    <row r="49" spans="1:17" x14ac:dyDescent="0.3">
      <c r="A49">
        <v>100</v>
      </c>
      <c r="B49" s="4"/>
      <c r="D49">
        <v>3.1410862514606899E-3</v>
      </c>
      <c r="E49" s="2">
        <v>3.27513526933276E-6</v>
      </c>
      <c r="F49">
        <v>3.4466944423003402E-3</v>
      </c>
      <c r="G49" s="2">
        <v>3.2445791725811299E-6</v>
      </c>
      <c r="H49" s="13">
        <f t="shared" si="8"/>
        <v>1.0972937915020748</v>
      </c>
      <c r="I49">
        <f t="shared" si="10"/>
        <v>1.541426865977242E-3</v>
      </c>
      <c r="J49" s="3"/>
      <c r="L49">
        <v>8.85793670637662E-4</v>
      </c>
      <c r="M49" s="2">
        <v>9.8356058025338391E-7</v>
      </c>
      <c r="N49">
        <v>9.7084534758771503E-4</v>
      </c>
      <c r="O49" s="2">
        <v>9.6980794977708597E-7</v>
      </c>
      <c r="P49" s="7">
        <f t="shared" si="9"/>
        <v>1.0960174810109293</v>
      </c>
      <c r="Q49">
        <f t="shared" si="11"/>
        <v>1.6369931020509556E-3</v>
      </c>
    </row>
    <row r="50" spans="1:17" x14ac:dyDescent="0.3">
      <c r="A50">
        <v>150</v>
      </c>
      <c r="B50" s="4"/>
      <c r="D50">
        <v>4.6445716846820698E-3</v>
      </c>
      <c r="E50" s="2">
        <v>9.6466217564299792E-6</v>
      </c>
      <c r="F50">
        <v>5.1102808521361299E-3</v>
      </c>
      <c r="G50" s="2">
        <v>1.2123213047497999E-5</v>
      </c>
      <c r="H50" s="13">
        <f t="shared" si="8"/>
        <v>1.1002695617746587</v>
      </c>
      <c r="I50">
        <f t="shared" si="10"/>
        <v>3.4691982513368859E-3</v>
      </c>
      <c r="J50" s="3"/>
      <c r="L50">
        <v>1.3081330620107799E-3</v>
      </c>
      <c r="M50" s="2">
        <v>2.80171745622202E-6</v>
      </c>
      <c r="N50">
        <v>1.4366091704730399E-3</v>
      </c>
      <c r="O50" s="2">
        <v>3.9642356132896798E-6</v>
      </c>
      <c r="P50" s="7">
        <f t="shared" si="9"/>
        <v>1.0982133333322945</v>
      </c>
      <c r="Q50">
        <f t="shared" si="11"/>
        <v>3.8361574919628999E-3</v>
      </c>
    </row>
    <row r="51" spans="1:17" x14ac:dyDescent="0.3">
      <c r="A51">
        <v>250</v>
      </c>
      <c r="B51" s="4"/>
      <c r="D51">
        <v>7.5610462202649401E-3</v>
      </c>
      <c r="E51" s="2">
        <v>1.57081565413314E-5</v>
      </c>
      <c r="F51">
        <v>8.3558566219651704E-3</v>
      </c>
      <c r="G51" s="2">
        <v>2.3966742759134201E-5</v>
      </c>
      <c r="H51" s="13">
        <f t="shared" si="8"/>
        <v>1.1051191036989032</v>
      </c>
      <c r="I51">
        <f t="shared" si="10"/>
        <v>3.9138927052399545E-3</v>
      </c>
      <c r="J51" s="3"/>
      <c r="L51">
        <v>2.12547254000897E-3</v>
      </c>
      <c r="M51" s="2">
        <v>4.3461545058756504E-6</v>
      </c>
      <c r="N51">
        <v>2.34981119128888E-3</v>
      </c>
      <c r="O51" s="2">
        <v>6.0470823655424403E-6</v>
      </c>
      <c r="P51" s="7">
        <f t="shared" si="9"/>
        <v>1.105547659194394</v>
      </c>
      <c r="Q51">
        <f t="shared" si="11"/>
        <v>3.6338299450917248E-3</v>
      </c>
    </row>
    <row r="52" spans="1:17" x14ac:dyDescent="0.3">
      <c r="A52">
        <v>500</v>
      </c>
      <c r="B52" s="4"/>
      <c r="D52">
        <v>1.4415070472640399E-2</v>
      </c>
      <c r="E52" s="2">
        <v>3.9280138415606102E-5</v>
      </c>
      <c r="F52">
        <v>1.57632575158239E-2</v>
      </c>
      <c r="G52" s="2">
        <v>4.6556836615973601E-5</v>
      </c>
      <c r="H52" s="13">
        <f t="shared" si="8"/>
        <v>1.0935262193648196</v>
      </c>
      <c r="I52">
        <f t="shared" si="10"/>
        <v>4.3943507224962841E-3</v>
      </c>
      <c r="J52" s="3"/>
      <c r="L52">
        <v>4.0263446679611103E-3</v>
      </c>
      <c r="M52" s="2">
        <v>9.8284022533362494E-6</v>
      </c>
      <c r="N52">
        <v>4.4001147340224003E-3</v>
      </c>
      <c r="O52" s="2">
        <v>1.2233005270844601E-5</v>
      </c>
      <c r="P52" s="7">
        <f t="shared" si="9"/>
        <v>1.0928311152881411</v>
      </c>
      <c r="Q52">
        <f t="shared" si="11"/>
        <v>4.0431595724590682E-3</v>
      </c>
    </row>
    <row r="53" spans="1:17" x14ac:dyDescent="0.3">
      <c r="A53">
        <v>750</v>
      </c>
      <c r="B53" s="4"/>
      <c r="D53">
        <v>2.0534104630709499E-2</v>
      </c>
      <c r="E53" s="2">
        <v>5.1678598638391099E-5</v>
      </c>
      <c r="F53">
        <v>2.23393057358535E-2</v>
      </c>
      <c r="G53" s="2">
        <v>5.7826696670158199E-5</v>
      </c>
      <c r="H53" s="13">
        <f t="shared" si="8"/>
        <v>1.0879123359702889</v>
      </c>
      <c r="I53">
        <f t="shared" si="10"/>
        <v>3.927730995428016E-3</v>
      </c>
      <c r="J53" s="3"/>
      <c r="L53">
        <v>5.7060236110456197E-3</v>
      </c>
      <c r="M53" s="2">
        <v>1.35378322351975E-5</v>
      </c>
      <c r="N53">
        <v>6.2061024296920604E-3</v>
      </c>
      <c r="O53" s="2">
        <v>1.42865721950832E-5</v>
      </c>
      <c r="P53" s="7">
        <f t="shared" si="9"/>
        <v>1.0876405098777364</v>
      </c>
      <c r="Q53">
        <f t="shared" si="11"/>
        <v>3.5955188836270442E-3</v>
      </c>
    </row>
    <row r="54" spans="1:17" x14ac:dyDescent="0.3">
      <c r="A54">
        <v>999.99</v>
      </c>
      <c r="B54" s="4"/>
      <c r="D54">
        <v>2.6037643908025699E-2</v>
      </c>
      <c r="E54" s="2">
        <v>7.16762407558917E-5</v>
      </c>
      <c r="F54">
        <v>2.8423944908042901E-2</v>
      </c>
      <c r="G54" s="2">
        <v>6.8045831633092906E-5</v>
      </c>
      <c r="H54" s="13">
        <f t="shared" si="8"/>
        <v>1.0916481156454276</v>
      </c>
      <c r="I54">
        <f>H54*((E54/D54)^2 +(G54/F54)^2)^0.5</f>
        <v>3.9824844315028184E-3</v>
      </c>
      <c r="J54" s="3"/>
      <c r="L54">
        <v>7.2100975409337296E-3</v>
      </c>
      <c r="M54" s="2">
        <v>1.5881717337174401E-5</v>
      </c>
      <c r="N54">
        <v>7.8337967364074702E-3</v>
      </c>
      <c r="O54" s="2">
        <v>1.6587191792760698E-5</v>
      </c>
      <c r="P54" s="7">
        <f t="shared" si="9"/>
        <v>1.0865035725151881</v>
      </c>
      <c r="Q54">
        <f>P54*((M54/L54)^2 +(O54/N54)^2)^0.5</f>
        <v>3.3196628738700355E-3</v>
      </c>
    </row>
    <row r="57" spans="1:17" x14ac:dyDescent="0.3">
      <c r="C57" s="1" t="s">
        <v>7</v>
      </c>
    </row>
    <row r="58" spans="1:17" x14ac:dyDescent="0.3">
      <c r="C58" s="11" t="s">
        <v>2</v>
      </c>
      <c r="D58" s="11"/>
      <c r="E58" s="11"/>
      <c r="F58" s="12"/>
      <c r="G58" s="12"/>
      <c r="H58" s="12"/>
      <c r="K58" s="2"/>
      <c r="L58" s="2"/>
      <c r="M58" s="2"/>
      <c r="N58" s="2"/>
    </row>
    <row r="59" spans="1:17" x14ac:dyDescent="0.3">
      <c r="C59" s="14" t="s">
        <v>4</v>
      </c>
      <c r="D59" s="14"/>
      <c r="E59" s="14"/>
      <c r="F59" s="15"/>
      <c r="G59" s="15"/>
      <c r="H59" s="15"/>
      <c r="I59" s="14"/>
      <c r="K59" s="17" t="s">
        <v>3</v>
      </c>
      <c r="L59" s="17"/>
      <c r="M59" s="18"/>
      <c r="N59" s="18"/>
      <c r="O59" s="17"/>
      <c r="P59" s="17"/>
      <c r="Q59" s="17"/>
    </row>
    <row r="60" spans="1:17" x14ac:dyDescent="0.3">
      <c r="A60" s="5" t="s">
        <v>0</v>
      </c>
      <c r="B60" s="5"/>
      <c r="C60" s="15" t="s">
        <v>1</v>
      </c>
      <c r="D60" s="15" t="s">
        <v>8</v>
      </c>
      <c r="E60" s="15" t="s">
        <v>9</v>
      </c>
      <c r="F60" s="15" t="s">
        <v>10</v>
      </c>
      <c r="G60" s="15" t="s">
        <v>11</v>
      </c>
      <c r="H60" s="16" t="s">
        <v>6</v>
      </c>
      <c r="I60" s="16" t="s">
        <v>12</v>
      </c>
      <c r="J60" s="6"/>
      <c r="K60" s="18" t="s">
        <v>1</v>
      </c>
      <c r="L60" s="18" t="s">
        <v>8</v>
      </c>
      <c r="M60" s="18" t="s">
        <v>9</v>
      </c>
      <c r="N60" s="18" t="s">
        <v>10</v>
      </c>
      <c r="O60" s="18" t="s">
        <v>11</v>
      </c>
      <c r="P60" s="19" t="s">
        <v>6</v>
      </c>
      <c r="Q60" s="19" t="s">
        <v>12</v>
      </c>
    </row>
    <row r="61" spans="1:17" x14ac:dyDescent="0.3">
      <c r="A61">
        <v>0.1</v>
      </c>
      <c r="B61" s="4"/>
      <c r="D61">
        <v>1.3534903554118201</v>
      </c>
      <c r="E61" s="2">
        <v>9.6553174901567196E-5</v>
      </c>
      <c r="F61">
        <v>1.3534666569938301</v>
      </c>
      <c r="G61">
        <v>1.10337185935699E-4</v>
      </c>
      <c r="H61" s="7">
        <f t="shared" ref="H61:H73" si="12">F61/D61</f>
        <v>0.9999824908852174</v>
      </c>
      <c r="I61">
        <f>H61*((E61/D61)^2 +(G61/F61)^2)^0.5</f>
        <v>1.0832496258568765E-4</v>
      </c>
      <c r="J61" s="3"/>
      <c r="L61">
        <v>1.3352318967644701</v>
      </c>
      <c r="M61" s="2">
        <v>9.7356481692860994E-5</v>
      </c>
      <c r="N61">
        <v>1.3353466214812699</v>
      </c>
      <c r="O61">
        <v>1.2505601665707E-4</v>
      </c>
      <c r="P61" s="7">
        <f t="shared" ref="P61:P73" si="13">N61/L61</f>
        <v>1.0000859211924744</v>
      </c>
      <c r="Q61">
        <f>P61*((M61/L61)^2 +(O61/N61)^2)^0.5</f>
        <v>1.1869810586467566E-4</v>
      </c>
    </row>
    <row r="62" spans="1:17" x14ac:dyDescent="0.3">
      <c r="A62">
        <v>0.5</v>
      </c>
      <c r="B62" s="4"/>
      <c r="D62">
        <v>1.3332831025853</v>
      </c>
      <c r="E62">
        <v>1.1155132408639799E-4</v>
      </c>
      <c r="F62">
        <v>1.3335516984153499</v>
      </c>
      <c r="G62" s="2">
        <v>9.8571452316726502E-5</v>
      </c>
      <c r="H62" s="7">
        <f t="shared" si="12"/>
        <v>1.0002014544619438</v>
      </c>
      <c r="I62">
        <f t="shared" ref="I62:I72" si="14">H62*((E62/D62)^2 +(G62/F62)^2)^0.5</f>
        <v>1.1166367498899214E-4</v>
      </c>
      <c r="J62" s="3"/>
      <c r="K62" s="3"/>
      <c r="L62">
        <v>1.33328060850382</v>
      </c>
      <c r="M62">
        <v>1.11744636942801E-4</v>
      </c>
      <c r="N62">
        <v>1.33349654821898</v>
      </c>
      <c r="O62" s="2">
        <v>9.9388022927045995E-5</v>
      </c>
      <c r="P62" s="8">
        <f t="shared" si="13"/>
        <v>1.0001619611909021</v>
      </c>
      <c r="Q62">
        <f t="shared" ref="Q62:Q72" si="15">P62*((M62/L62)^2 +(O62/N62)^2)^0.5</f>
        <v>1.1217617716941135E-4</v>
      </c>
    </row>
    <row r="63" spans="1:17" x14ac:dyDescent="0.3">
      <c r="A63">
        <v>1</v>
      </c>
      <c r="B63" s="4"/>
      <c r="D63">
        <v>1.3327302748801999</v>
      </c>
      <c r="E63">
        <v>1.2633176524829901E-4</v>
      </c>
      <c r="F63">
        <v>1.33280976817106</v>
      </c>
      <c r="G63">
        <v>1.10318157044691E-4</v>
      </c>
      <c r="H63" s="7">
        <f t="shared" si="12"/>
        <v>1.0000596469460914</v>
      </c>
      <c r="I63">
        <f t="shared" si="14"/>
        <v>1.2585075874776679E-4</v>
      </c>
      <c r="J63" s="3"/>
      <c r="L63">
        <v>1.3325160160175999</v>
      </c>
      <c r="M63">
        <v>1.2990361944337101E-4</v>
      </c>
      <c r="N63">
        <v>1.3326689845730799</v>
      </c>
      <c r="O63">
        <v>1.0526827110579401E-4</v>
      </c>
      <c r="P63" s="7">
        <f t="shared" si="13"/>
        <v>1.0001147967856605</v>
      </c>
      <c r="Q63">
        <f t="shared" si="15"/>
        <v>1.2548677612360951E-4</v>
      </c>
    </row>
    <row r="64" spans="1:17" x14ac:dyDescent="0.3">
      <c r="A64">
        <v>10</v>
      </c>
      <c r="B64" s="4"/>
      <c r="D64">
        <v>1.3300592286289901</v>
      </c>
      <c r="E64">
        <v>4.0385977571718098E-4</v>
      </c>
      <c r="F64">
        <v>1.33006735676433</v>
      </c>
      <c r="G64">
        <v>4.3462506631634999E-4</v>
      </c>
      <c r="H64" s="7">
        <f t="shared" si="12"/>
        <v>1.00000611110781</v>
      </c>
      <c r="I64">
        <f t="shared" si="14"/>
        <v>4.4606958157820904E-4</v>
      </c>
      <c r="J64" s="3"/>
      <c r="K64" s="3"/>
      <c r="L64">
        <v>1.32875591199513</v>
      </c>
      <c r="M64">
        <v>3.6656386812860002E-4</v>
      </c>
      <c r="N64">
        <v>1.3283935226396499</v>
      </c>
      <c r="O64">
        <v>4.6050432456435497E-4</v>
      </c>
      <c r="P64" s="8">
        <f t="shared" si="13"/>
        <v>0.99972727168909759</v>
      </c>
      <c r="Q64">
        <f t="shared" si="15"/>
        <v>4.4291324537064109E-4</v>
      </c>
    </row>
    <row r="65" spans="1:17" x14ac:dyDescent="0.3">
      <c r="A65">
        <v>25</v>
      </c>
      <c r="B65" s="4"/>
      <c r="D65">
        <v>1.3280313268428501</v>
      </c>
      <c r="E65">
        <v>9.3351065376810901E-4</v>
      </c>
      <c r="F65">
        <v>1.32879638765109</v>
      </c>
      <c r="G65">
        <v>1.0451282524601201E-3</v>
      </c>
      <c r="H65" s="7">
        <f t="shared" si="12"/>
        <v>1.00057608641662</v>
      </c>
      <c r="I65">
        <f t="shared" si="14"/>
        <v>1.0554658196667876E-3</v>
      </c>
      <c r="J65" s="3"/>
      <c r="L65">
        <v>1.3245110745965301</v>
      </c>
      <c r="M65">
        <v>6.3753145972632905E-4</v>
      </c>
      <c r="N65">
        <v>1.32578542353965</v>
      </c>
      <c r="O65">
        <v>1.0645660109259701E-3</v>
      </c>
      <c r="P65" s="7">
        <f t="shared" si="13"/>
        <v>1.0009621278127161</v>
      </c>
      <c r="Q65">
        <f t="shared" si="15"/>
        <v>9.3708596837583497E-4</v>
      </c>
    </row>
    <row r="66" spans="1:17" x14ac:dyDescent="0.3">
      <c r="A66">
        <v>50</v>
      </c>
      <c r="B66" s="4"/>
      <c r="D66">
        <v>1.32635805956632</v>
      </c>
      <c r="E66">
        <v>6.9639455664311498E-4</v>
      </c>
      <c r="F66">
        <v>1.32593816850222</v>
      </c>
      <c r="G66">
        <v>9.7502159311734795E-4</v>
      </c>
      <c r="H66" s="7">
        <f t="shared" si="12"/>
        <v>0.99968342555686862</v>
      </c>
      <c r="I66">
        <f t="shared" si="14"/>
        <v>9.0326340688159196E-4</v>
      </c>
      <c r="J66" s="3"/>
      <c r="K66" s="3"/>
      <c r="L66">
        <v>1.3197871026024</v>
      </c>
      <c r="M66">
        <v>8.8312138374329295E-4</v>
      </c>
      <c r="N66">
        <v>1.3193357094999201</v>
      </c>
      <c r="O66">
        <v>9.5862687561023305E-4</v>
      </c>
      <c r="P66" s="8">
        <f t="shared" si="13"/>
        <v>0.99965798036547726</v>
      </c>
      <c r="Q66">
        <f t="shared" si="15"/>
        <v>9.874335070433548E-4</v>
      </c>
    </row>
    <row r="67" spans="1:17" x14ac:dyDescent="0.3">
      <c r="A67">
        <v>75</v>
      </c>
      <c r="B67" s="4"/>
      <c r="D67">
        <v>1.3241746057403101</v>
      </c>
      <c r="E67">
        <v>7.5385260544338895E-4</v>
      </c>
      <c r="F67">
        <v>1.32176272990539</v>
      </c>
      <c r="G67">
        <v>9.1298526822734501E-4</v>
      </c>
      <c r="H67" s="7">
        <f t="shared" si="12"/>
        <v>0.99817858171840435</v>
      </c>
      <c r="I67">
        <f t="shared" si="14"/>
        <v>8.9347561337432412E-4</v>
      </c>
      <c r="J67" s="3"/>
      <c r="L67">
        <v>1.31486593414251</v>
      </c>
      <c r="M67">
        <v>8.9177056244582901E-4</v>
      </c>
      <c r="N67">
        <v>1.31129753244608</v>
      </c>
      <c r="O67">
        <v>7.8150296279425404E-4</v>
      </c>
      <c r="P67" s="7">
        <f t="shared" si="13"/>
        <v>0.99728610985822141</v>
      </c>
      <c r="Q67">
        <f t="shared" si="15"/>
        <v>9.004190394956773E-4</v>
      </c>
    </row>
    <row r="68" spans="1:17" x14ac:dyDescent="0.3">
      <c r="A68">
        <v>100</v>
      </c>
      <c r="B68" s="4"/>
      <c r="D68">
        <v>1.3201669732916701</v>
      </c>
      <c r="E68">
        <v>8.1198011218001096E-4</v>
      </c>
      <c r="F68">
        <v>1.32030209918924</v>
      </c>
      <c r="G68">
        <v>1.31640184004061E-3</v>
      </c>
      <c r="H68" s="7">
        <f t="shared" si="12"/>
        <v>1.0001023551568125</v>
      </c>
      <c r="I68">
        <f t="shared" si="14"/>
        <v>1.1716137129980835E-3</v>
      </c>
      <c r="J68" s="3"/>
      <c r="K68" s="3"/>
      <c r="L68">
        <v>1.3080554428553499</v>
      </c>
      <c r="M68">
        <v>1.05245064814075E-3</v>
      </c>
      <c r="N68">
        <v>1.30680092368919</v>
      </c>
      <c r="O68">
        <v>1.1966142360113001E-3</v>
      </c>
      <c r="P68" s="8">
        <f t="shared" si="13"/>
        <v>0.99904092814030765</v>
      </c>
      <c r="Q68">
        <f t="shared" si="15"/>
        <v>1.2177819875734308E-3</v>
      </c>
    </row>
    <row r="69" spans="1:17" x14ac:dyDescent="0.3">
      <c r="A69">
        <v>150</v>
      </c>
      <c r="B69" s="4"/>
      <c r="D69">
        <v>1.3167958235947801</v>
      </c>
      <c r="E69">
        <v>2.9975536579085601E-3</v>
      </c>
      <c r="F69">
        <v>1.31764911185755</v>
      </c>
      <c r="G69">
        <v>2.4611631617419902E-3</v>
      </c>
      <c r="H69" s="7">
        <f t="shared" si="12"/>
        <v>1.0006480034698473</v>
      </c>
      <c r="I69">
        <f t="shared" si="14"/>
        <v>2.9465367028268241E-3</v>
      </c>
      <c r="J69" s="3"/>
      <c r="L69">
        <v>1.2992314592619101</v>
      </c>
      <c r="M69">
        <v>2.6598085552900302E-3</v>
      </c>
      <c r="N69">
        <v>1.2990352083416801</v>
      </c>
      <c r="O69">
        <v>2.3388362534294302E-3</v>
      </c>
      <c r="P69" s="7">
        <f t="shared" si="13"/>
        <v>0.99984894845423344</v>
      </c>
      <c r="Q69">
        <f t="shared" si="15"/>
        <v>2.7258832387438308E-3</v>
      </c>
    </row>
    <row r="70" spans="1:17" x14ac:dyDescent="0.3">
      <c r="A70">
        <v>250</v>
      </c>
      <c r="B70" s="4"/>
      <c r="D70">
        <v>1.3044437019138699</v>
      </c>
      <c r="E70">
        <v>1.8132333400680499E-3</v>
      </c>
      <c r="F70">
        <v>1.3079779433234</v>
      </c>
      <c r="G70">
        <v>3.6195996594348399E-3</v>
      </c>
      <c r="H70" s="7">
        <f t="shared" si="12"/>
        <v>1.0027093859277671</v>
      </c>
      <c r="I70">
        <f t="shared" si="14"/>
        <v>3.1052124968005581E-3</v>
      </c>
      <c r="J70" s="3"/>
      <c r="K70" s="3"/>
      <c r="L70">
        <v>1.2754633925346801</v>
      </c>
      <c r="M70">
        <v>2.5670750630042301E-3</v>
      </c>
      <c r="N70">
        <v>1.27508401331121</v>
      </c>
      <c r="O70">
        <v>3.1668437255882899E-3</v>
      </c>
      <c r="P70" s="8">
        <f t="shared" si="13"/>
        <v>0.9997025557725211</v>
      </c>
      <c r="Q70">
        <f t="shared" si="15"/>
        <v>3.1958049501485874E-3</v>
      </c>
    </row>
    <row r="71" spans="1:17" x14ac:dyDescent="0.3">
      <c r="A71">
        <v>500</v>
      </c>
      <c r="B71" s="4"/>
      <c r="D71">
        <v>1.2726629240712399</v>
      </c>
      <c r="E71">
        <v>2.7166252951841101E-3</v>
      </c>
      <c r="F71">
        <v>1.2729237405448699</v>
      </c>
      <c r="G71">
        <v>2.8623503684927099E-3</v>
      </c>
      <c r="H71" s="7">
        <f t="shared" si="12"/>
        <v>1.0002049375908553</v>
      </c>
      <c r="I71">
        <f t="shared" si="14"/>
        <v>3.101104200533414E-3</v>
      </c>
      <c r="J71" s="3"/>
      <c r="L71">
        <v>1.21433761848289</v>
      </c>
      <c r="M71">
        <v>1.78305037450447E-3</v>
      </c>
      <c r="N71">
        <v>1.2162928747352799</v>
      </c>
      <c r="O71">
        <v>1.78442571980327E-3</v>
      </c>
      <c r="P71" s="7">
        <f t="shared" si="13"/>
        <v>1.0016101422064423</v>
      </c>
      <c r="Q71">
        <f t="shared" si="15"/>
        <v>2.0790073532015014E-3</v>
      </c>
    </row>
    <row r="72" spans="1:17" x14ac:dyDescent="0.3">
      <c r="A72">
        <v>750</v>
      </c>
      <c r="B72" s="4"/>
      <c r="D72">
        <v>1.2423089205787501</v>
      </c>
      <c r="E72">
        <v>2.3272403104410899E-3</v>
      </c>
      <c r="F72">
        <v>1.2408887816069201</v>
      </c>
      <c r="G72">
        <v>2.17715292950064E-3</v>
      </c>
      <c r="H72" s="7">
        <f t="shared" si="12"/>
        <v>0.99885685520863166</v>
      </c>
      <c r="I72">
        <f t="shared" si="14"/>
        <v>2.5637040120480357E-3</v>
      </c>
      <c r="J72" s="4"/>
      <c r="L72">
        <v>1.16893154054166</v>
      </c>
      <c r="M72">
        <v>2.5299483816998E-3</v>
      </c>
      <c r="N72">
        <v>1.1623016999656299</v>
      </c>
      <c r="O72">
        <v>2.3537063605707201E-3</v>
      </c>
      <c r="P72" s="7">
        <f t="shared" si="13"/>
        <v>0.99432829011273149</v>
      </c>
      <c r="Q72">
        <f t="shared" si="15"/>
        <v>2.9471542099952473E-3</v>
      </c>
    </row>
    <row r="73" spans="1:17" x14ac:dyDescent="0.3">
      <c r="A73">
        <v>999.99</v>
      </c>
      <c r="B73" s="4"/>
      <c r="D73">
        <v>1.22576284834816</v>
      </c>
      <c r="E73">
        <v>1.23273496553573E-3</v>
      </c>
      <c r="F73">
        <v>1.2248369746380401</v>
      </c>
      <c r="G73">
        <v>1.1081569319058801E-3</v>
      </c>
      <c r="H73" s="7">
        <f t="shared" si="12"/>
        <v>0.99924465510488625</v>
      </c>
      <c r="I73">
        <f>H73*((E73/D73)^2 +(G73/F73)^2)^0.5</f>
        <v>1.3517382386515301E-3</v>
      </c>
      <c r="J73" s="4"/>
      <c r="L73">
        <v>1.1280813456035399</v>
      </c>
      <c r="M73">
        <v>2.4503318989518999E-3</v>
      </c>
      <c r="N73">
        <v>1.1159074766764601</v>
      </c>
      <c r="O73">
        <v>2.3868755353182898E-3</v>
      </c>
      <c r="P73" s="8">
        <f t="shared" si="13"/>
        <v>0.98920834124726476</v>
      </c>
      <c r="Q73">
        <f>P73*((M73/L73)^2 +(O73/N73)^2)^0.5</f>
        <v>3.0155845990736735E-3</v>
      </c>
    </row>
    <row r="76" spans="1:17" x14ac:dyDescent="0.3">
      <c r="C76" s="9" t="s">
        <v>5</v>
      </c>
      <c r="D76" s="9"/>
      <c r="E76" s="9"/>
      <c r="F76" s="10"/>
      <c r="G76" s="10"/>
      <c r="H76" s="10"/>
      <c r="I76" s="10"/>
      <c r="K76" s="2"/>
      <c r="L76" s="2"/>
      <c r="M76" s="2"/>
      <c r="N76" s="2"/>
    </row>
    <row r="77" spans="1:17" x14ac:dyDescent="0.3">
      <c r="C77" s="14" t="s">
        <v>4</v>
      </c>
      <c r="D77" s="14"/>
      <c r="E77" s="14"/>
      <c r="F77" s="15"/>
      <c r="G77" s="15"/>
      <c r="H77" s="15"/>
      <c r="I77" s="14"/>
      <c r="K77" s="17" t="s">
        <v>3</v>
      </c>
      <c r="L77" s="17"/>
      <c r="M77" s="18"/>
      <c r="N77" s="18"/>
      <c r="O77" s="17"/>
      <c r="P77" s="17"/>
      <c r="Q77" s="17"/>
    </row>
    <row r="78" spans="1:17" x14ac:dyDescent="0.3">
      <c r="A78" s="5" t="s">
        <v>0</v>
      </c>
      <c r="B78" s="5"/>
      <c r="C78" s="15" t="s">
        <v>1</v>
      </c>
      <c r="D78" s="15" t="s">
        <v>8</v>
      </c>
      <c r="E78" s="15" t="s">
        <v>9</v>
      </c>
      <c r="F78" s="15" t="s">
        <v>10</v>
      </c>
      <c r="G78" s="15" t="s">
        <v>11</v>
      </c>
      <c r="H78" s="16" t="s">
        <v>6</v>
      </c>
      <c r="I78" s="16" t="s">
        <v>12</v>
      </c>
      <c r="J78" s="6"/>
      <c r="K78" s="18" t="s">
        <v>1</v>
      </c>
      <c r="L78" s="18" t="s">
        <v>8</v>
      </c>
      <c r="M78" s="18" t="s">
        <v>9</v>
      </c>
      <c r="N78" s="18" t="s">
        <v>10</v>
      </c>
      <c r="O78" s="18" t="s">
        <v>11</v>
      </c>
      <c r="P78" s="19" t="s">
        <v>6</v>
      </c>
      <c r="Q78" s="19" t="s">
        <v>12</v>
      </c>
    </row>
    <row r="79" spans="1:17" x14ac:dyDescent="0.3">
      <c r="A79">
        <v>0.1</v>
      </c>
      <c r="B79" s="4"/>
      <c r="C79" s="2"/>
      <c r="D79" s="2">
        <v>2.0290990203204199E-5</v>
      </c>
      <c r="E79" s="2">
        <v>2.24743174860222E-9</v>
      </c>
      <c r="F79" s="2">
        <v>2.0576219663031699E-5</v>
      </c>
      <c r="G79" s="2">
        <v>3.5531142886299199E-8</v>
      </c>
      <c r="H79" s="7">
        <f t="shared" ref="H79:H91" si="16">F79/D79</f>
        <v>1.0140569512365374</v>
      </c>
      <c r="I79">
        <f>H79*((E79/D79)^2 +(G79/F79)^2)^0.5</f>
        <v>1.7546781899791095E-3</v>
      </c>
      <c r="J79" s="3"/>
      <c r="K79" s="2"/>
      <c r="L79" s="2">
        <v>2.44222139985293E-5</v>
      </c>
      <c r="M79" s="2">
        <v>3.2540004788240401E-9</v>
      </c>
      <c r="N79" s="2">
        <v>2.5452415896808901E-5</v>
      </c>
      <c r="O79" s="2">
        <v>3.4511677912228998E-8</v>
      </c>
      <c r="P79" s="7">
        <f t="shared" ref="P79:P91" si="17">N79/L79</f>
        <v>1.0421829854714089</v>
      </c>
      <c r="Q79">
        <f>P79*((M79/L79)^2 +(O79/N79)^2)^0.5</f>
        <v>1.419932591807686E-3</v>
      </c>
    </row>
    <row r="80" spans="1:17" x14ac:dyDescent="0.3">
      <c r="A80">
        <v>0.5</v>
      </c>
      <c r="B80" s="4"/>
      <c r="C80" s="2"/>
      <c r="D80" s="2">
        <v>9.9775304693063802E-5</v>
      </c>
      <c r="E80" s="2">
        <v>1.12762451750336E-8</v>
      </c>
      <c r="F80">
        <v>1.03580844636417E-4</v>
      </c>
      <c r="G80" s="2">
        <v>6.1396317523546606E-8</v>
      </c>
      <c r="H80" s="7">
        <f t="shared" si="16"/>
        <v>1.0381411006968115</v>
      </c>
      <c r="I80">
        <f t="shared" ref="I80:I90" si="18">H80*((E80/D80)^2 +(G80/F80)^2)^0.5</f>
        <v>6.2643124526338815E-4</v>
      </c>
      <c r="J80" s="3"/>
      <c r="L80">
        <v>1.21907844018741E-4</v>
      </c>
      <c r="M80" s="2">
        <v>1.40834939730919E-8</v>
      </c>
      <c r="N80">
        <v>1.27621410906264E-4</v>
      </c>
      <c r="O80" s="2">
        <v>7.9820165373987095E-8</v>
      </c>
      <c r="P80" s="7">
        <f t="shared" si="17"/>
        <v>1.0468679184142133</v>
      </c>
      <c r="Q80">
        <f t="shared" ref="Q80:Q90" si="19">P80*((M80/L80)^2 +(O80/N80)^2)^0.5</f>
        <v>6.6583397526143498E-4</v>
      </c>
    </row>
    <row r="81" spans="1:17" x14ac:dyDescent="0.3">
      <c r="A81">
        <v>1</v>
      </c>
      <c r="B81" s="4"/>
      <c r="C81" s="2"/>
      <c r="D81">
        <v>1.99444960717931E-4</v>
      </c>
      <c r="E81" s="2">
        <v>4.15103677610828E-8</v>
      </c>
      <c r="F81">
        <v>2.0769359643264999E-4</v>
      </c>
      <c r="G81" s="2">
        <v>8.9692390255205302E-8</v>
      </c>
      <c r="H81" s="7">
        <f t="shared" si="16"/>
        <v>1.041357955021911</v>
      </c>
      <c r="I81">
        <f t="shared" si="18"/>
        <v>4.9921348600659747E-4</v>
      </c>
      <c r="J81" s="3"/>
      <c r="L81">
        <v>2.4364376203713501E-4</v>
      </c>
      <c r="M81" s="2">
        <v>3.6399685613690799E-8</v>
      </c>
      <c r="N81">
        <v>2.5560959700704201E-4</v>
      </c>
      <c r="O81" s="2">
        <v>1.2775665836178299E-7</v>
      </c>
      <c r="P81" s="7">
        <f t="shared" si="17"/>
        <v>1.0491120103788383</v>
      </c>
      <c r="Q81">
        <f t="shared" si="19"/>
        <v>5.4728183879285217E-4</v>
      </c>
    </row>
    <row r="82" spans="1:17" x14ac:dyDescent="0.3">
      <c r="A82">
        <v>10</v>
      </c>
      <c r="B82" s="4"/>
      <c r="C82" s="2"/>
      <c r="D82">
        <v>1.98828302242474E-3</v>
      </c>
      <c r="E82" s="2">
        <v>8.8402559735503801E-7</v>
      </c>
      <c r="F82">
        <v>2.0882330769847598E-3</v>
      </c>
      <c r="G82" s="2">
        <v>1.5267636606574901E-6</v>
      </c>
      <c r="H82" s="7">
        <f t="shared" si="16"/>
        <v>1.0502695307623404</v>
      </c>
      <c r="I82">
        <f t="shared" si="18"/>
        <v>8.9872119185191652E-4</v>
      </c>
      <c r="J82" s="3"/>
      <c r="L82">
        <v>2.4288696331029799E-3</v>
      </c>
      <c r="M82" s="2">
        <v>9.7964708696651905E-7</v>
      </c>
      <c r="N82">
        <v>2.56202907911283E-3</v>
      </c>
      <c r="O82" s="2">
        <v>1.85007690935801E-6</v>
      </c>
      <c r="P82" s="7">
        <f t="shared" si="17"/>
        <v>1.0548236283228316</v>
      </c>
      <c r="Q82">
        <f t="shared" si="19"/>
        <v>8.7246560513766763E-4</v>
      </c>
    </row>
    <row r="83" spans="1:17" x14ac:dyDescent="0.3">
      <c r="A83">
        <v>25</v>
      </c>
      <c r="B83" s="4"/>
      <c r="C83" s="2"/>
      <c r="D83">
        <v>4.96189185579824E-3</v>
      </c>
      <c r="E83" s="2">
        <v>4.7305827494088002E-6</v>
      </c>
      <c r="F83">
        <v>5.2267028439012698E-3</v>
      </c>
      <c r="G83" s="2">
        <v>5.8392478108713296E-6</v>
      </c>
      <c r="H83" s="7">
        <f t="shared" si="16"/>
        <v>1.0533689559947954</v>
      </c>
      <c r="I83">
        <f t="shared" si="18"/>
        <v>1.5470774442694489E-3</v>
      </c>
      <c r="J83" s="3"/>
      <c r="L83">
        <v>6.0546834237900898E-3</v>
      </c>
      <c r="M83" s="2">
        <v>3.7968621057748099E-6</v>
      </c>
      <c r="N83">
        <v>6.4137122028123401E-3</v>
      </c>
      <c r="O83" s="2">
        <v>5.4200951411111697E-6</v>
      </c>
      <c r="P83" s="7">
        <f t="shared" si="17"/>
        <v>1.0592976963273675</v>
      </c>
      <c r="Q83">
        <f t="shared" si="19"/>
        <v>1.1147351456962668E-3</v>
      </c>
    </row>
    <row r="84" spans="1:17" x14ac:dyDescent="0.3">
      <c r="A84">
        <v>50</v>
      </c>
      <c r="B84" s="4"/>
      <c r="C84" s="2"/>
      <c r="D84">
        <v>9.9108221418496706E-3</v>
      </c>
      <c r="E84" s="2">
        <v>7.7799993373927392E-6</v>
      </c>
      <c r="F84">
        <v>1.04457324399824E-2</v>
      </c>
      <c r="G84" s="2">
        <v>1.0966581763202101E-5</v>
      </c>
      <c r="H84" s="7">
        <f t="shared" si="16"/>
        <v>1.053972343613554</v>
      </c>
      <c r="I84">
        <f t="shared" si="18"/>
        <v>1.3816434538880609E-3</v>
      </c>
      <c r="J84" s="3"/>
      <c r="L84">
        <v>1.20608403533201E-2</v>
      </c>
      <c r="M84" s="2">
        <v>1.08240027557222E-5</v>
      </c>
      <c r="N84">
        <v>1.27839027701272E-2</v>
      </c>
      <c r="O84" s="2">
        <v>1.14752038724967E-5</v>
      </c>
      <c r="P84" s="7">
        <f t="shared" si="17"/>
        <v>1.0599512468140793</v>
      </c>
      <c r="Q84">
        <f t="shared" si="19"/>
        <v>1.3454096255822378E-3</v>
      </c>
    </row>
    <row r="85" spans="1:17" x14ac:dyDescent="0.3">
      <c r="A85">
        <v>75</v>
      </c>
      <c r="B85" s="4"/>
      <c r="C85" s="2"/>
      <c r="D85">
        <v>1.4852325171312301E-2</v>
      </c>
      <c r="E85" s="2">
        <v>1.0926773969422099E-5</v>
      </c>
      <c r="F85">
        <v>1.5673373059129699E-2</v>
      </c>
      <c r="G85" s="2">
        <v>1.43528244781444E-5</v>
      </c>
      <c r="H85" s="7">
        <f t="shared" si="16"/>
        <v>1.055280764348149</v>
      </c>
      <c r="I85">
        <f t="shared" si="18"/>
        <v>1.2396008323190834E-3</v>
      </c>
      <c r="J85" s="3"/>
      <c r="L85">
        <v>1.8041215453004699E-2</v>
      </c>
      <c r="M85" s="2">
        <v>1.7714094968001101E-5</v>
      </c>
      <c r="N85">
        <v>1.9051467947753701E-2</v>
      </c>
      <c r="O85" s="2">
        <v>1.1429796000528301E-5</v>
      </c>
      <c r="P85" s="7">
        <f t="shared" si="17"/>
        <v>1.0559969197962629</v>
      </c>
      <c r="Q85">
        <f t="shared" si="19"/>
        <v>1.2150834669821305E-3</v>
      </c>
    </row>
    <row r="86" spans="1:17" x14ac:dyDescent="0.3">
      <c r="A86">
        <v>100</v>
      </c>
      <c r="B86" s="4"/>
      <c r="C86" s="2"/>
      <c r="D86">
        <v>1.9731630447550601E-2</v>
      </c>
      <c r="E86" s="2">
        <v>1.6356103473517E-5</v>
      </c>
      <c r="F86">
        <v>2.0925446553624501E-2</v>
      </c>
      <c r="G86" s="2">
        <v>2.4994452644818202E-5</v>
      </c>
      <c r="H86" s="7">
        <f t="shared" si="16"/>
        <v>1.0605026588779487</v>
      </c>
      <c r="I86">
        <f t="shared" si="18"/>
        <v>1.5418697335489266E-3</v>
      </c>
      <c r="J86" s="3"/>
      <c r="L86">
        <v>2.3942727421137198E-2</v>
      </c>
      <c r="M86" s="2">
        <v>2.41011922220882E-5</v>
      </c>
      <c r="N86">
        <v>2.5404075273833399E-2</v>
      </c>
      <c r="O86" s="2">
        <v>2.6871581822638802E-5</v>
      </c>
      <c r="P86" s="7">
        <f t="shared" si="17"/>
        <v>1.0610351455367648</v>
      </c>
      <c r="Q86">
        <f t="shared" si="19"/>
        <v>1.5493114902381951E-3</v>
      </c>
    </row>
    <row r="87" spans="1:17" x14ac:dyDescent="0.3">
      <c r="A87">
        <v>150</v>
      </c>
      <c r="B87" s="4"/>
      <c r="C87" s="2"/>
      <c r="D87">
        <v>2.9577607515355299E-2</v>
      </c>
      <c r="E87" s="2">
        <v>9.6115259837008704E-5</v>
      </c>
      <c r="F87">
        <v>3.13728701314707E-2</v>
      </c>
      <c r="G87" s="2">
        <v>9.6533695670185797E-5</v>
      </c>
      <c r="H87" s="7">
        <f t="shared" si="16"/>
        <v>1.0606966812709036</v>
      </c>
      <c r="I87">
        <f t="shared" si="18"/>
        <v>4.7468608413677059E-3</v>
      </c>
      <c r="J87" s="3"/>
      <c r="L87">
        <v>3.5694610619412301E-2</v>
      </c>
      <c r="M87" s="2">
        <v>8.2524961518027197E-5</v>
      </c>
      <c r="N87">
        <v>3.7961973926613303E-2</v>
      </c>
      <c r="O87">
        <v>1.02905372343833E-4</v>
      </c>
      <c r="P87" s="7">
        <f t="shared" si="17"/>
        <v>1.0635211665810387</v>
      </c>
      <c r="Q87">
        <f t="shared" si="19"/>
        <v>3.7890881489905845E-3</v>
      </c>
    </row>
    <row r="88" spans="1:17" x14ac:dyDescent="0.3">
      <c r="A88">
        <v>250</v>
      </c>
      <c r="B88" s="4"/>
      <c r="C88" s="2"/>
      <c r="D88">
        <v>4.9063116103833598E-2</v>
      </c>
      <c r="E88">
        <v>1.10308690961243E-4</v>
      </c>
      <c r="F88">
        <v>5.2331116971228997E-2</v>
      </c>
      <c r="G88">
        <v>1.62226546601959E-4</v>
      </c>
      <c r="H88" s="7">
        <f t="shared" si="16"/>
        <v>1.0666080984436301</v>
      </c>
      <c r="I88">
        <f t="shared" si="18"/>
        <v>4.0845479394107645E-3</v>
      </c>
      <c r="J88" s="3"/>
      <c r="L88">
        <v>5.8503285539065399E-2</v>
      </c>
      <c r="M88">
        <v>1.3565230700754799E-4</v>
      </c>
      <c r="N88">
        <v>6.2444533831966298E-2</v>
      </c>
      <c r="O88">
        <v>1.8469627006352599E-4</v>
      </c>
      <c r="P88" s="7">
        <f t="shared" si="17"/>
        <v>1.0673679820985291</v>
      </c>
      <c r="Q88">
        <f t="shared" si="19"/>
        <v>4.0114868768480784E-3</v>
      </c>
    </row>
    <row r="89" spans="1:17" x14ac:dyDescent="0.3">
      <c r="A89">
        <v>500</v>
      </c>
      <c r="B89" s="4"/>
      <c r="C89" s="2"/>
      <c r="D89">
        <v>9.6307772048840001E-2</v>
      </c>
      <c r="E89">
        <v>2.9970899011049499E-4</v>
      </c>
      <c r="F89">
        <v>0.103397237554258</v>
      </c>
      <c r="G89">
        <v>2.9078750115984998E-4</v>
      </c>
      <c r="H89" s="7">
        <f t="shared" si="16"/>
        <v>1.0736126000487558</v>
      </c>
      <c r="I89">
        <f t="shared" si="18"/>
        <v>4.503252851926585E-3</v>
      </c>
      <c r="J89" s="3"/>
      <c r="L89">
        <v>0.111849004597233</v>
      </c>
      <c r="M89">
        <v>1.9399071169807599E-4</v>
      </c>
      <c r="N89">
        <v>0.120228333001437</v>
      </c>
      <c r="O89">
        <v>2.56613265918605E-4</v>
      </c>
      <c r="P89" s="7">
        <f t="shared" si="17"/>
        <v>1.0749164325098632</v>
      </c>
      <c r="Q89">
        <f t="shared" si="19"/>
        <v>2.9562598512691846E-3</v>
      </c>
    </row>
    <row r="90" spans="1:17" x14ac:dyDescent="0.3">
      <c r="A90">
        <v>750</v>
      </c>
      <c r="B90" s="4"/>
      <c r="D90">
        <v>0.14171728952561699</v>
      </c>
      <c r="E90">
        <v>3.43948673373356E-4</v>
      </c>
      <c r="F90">
        <v>0.152393113650097</v>
      </c>
      <c r="G90">
        <v>3.4464571027870302E-4</v>
      </c>
      <c r="H90" s="7">
        <f t="shared" si="16"/>
        <v>1.0753318396098046</v>
      </c>
      <c r="I90">
        <f t="shared" si="18"/>
        <v>3.567282186186052E-3</v>
      </c>
      <c r="J90" s="4"/>
      <c r="L90">
        <v>0.16223272595004601</v>
      </c>
      <c r="M90">
        <v>4.29274074054726E-4</v>
      </c>
      <c r="N90">
        <v>0.17320049362348</v>
      </c>
      <c r="O90">
        <v>3.4421587306751399E-4</v>
      </c>
      <c r="P90" s="7">
        <f t="shared" si="17"/>
        <v>1.0676051493877452</v>
      </c>
      <c r="Q90">
        <f t="shared" si="19"/>
        <v>3.5329852627062406E-3</v>
      </c>
    </row>
    <row r="91" spans="1:17" x14ac:dyDescent="0.3">
      <c r="A91">
        <v>999.99</v>
      </c>
      <c r="B91" s="4"/>
      <c r="D91">
        <v>0.187638403751727</v>
      </c>
      <c r="E91">
        <v>2.42561007732737E-4</v>
      </c>
      <c r="F91">
        <v>0.19545693071089701</v>
      </c>
      <c r="G91">
        <v>2.2828736692647101E-4</v>
      </c>
      <c r="H91" s="7">
        <f t="shared" si="16"/>
        <v>1.0416680530362807</v>
      </c>
      <c r="I91">
        <f>H91*((E91/D91)^2 +(G91/F91)^2)^0.5</f>
        <v>1.8147858424330007E-3</v>
      </c>
      <c r="J91" s="4"/>
      <c r="L91">
        <v>0.208953603264767</v>
      </c>
      <c r="M91">
        <v>5.3129443828807302E-4</v>
      </c>
      <c r="N91">
        <v>0.223224252625355</v>
      </c>
      <c r="O91">
        <v>5.6545982801596898E-4</v>
      </c>
      <c r="P91" s="7">
        <f t="shared" si="17"/>
        <v>1.0682957802000932</v>
      </c>
      <c r="Q91">
        <f>P91*((M91/L91)^2 +(O91/N91)^2)^0.5</f>
        <v>3.8342543851553339E-3</v>
      </c>
    </row>
    <row r="94" spans="1:17" x14ac:dyDescent="0.3">
      <c r="C94" s="20" t="s">
        <v>13</v>
      </c>
      <c r="D94" s="9"/>
      <c r="E94" s="9"/>
      <c r="F94" s="10"/>
      <c r="G94" s="10"/>
      <c r="H94" s="10"/>
      <c r="I94" s="10"/>
      <c r="K94" s="2"/>
      <c r="L94" s="2"/>
      <c r="M94" s="2"/>
      <c r="N94" s="2"/>
    </row>
    <row r="95" spans="1:17" x14ac:dyDescent="0.3">
      <c r="C95" s="14" t="s">
        <v>4</v>
      </c>
      <c r="D95" s="14"/>
      <c r="E95" s="14"/>
      <c r="F95" s="15"/>
      <c r="G95" s="15"/>
      <c r="H95" s="15"/>
      <c r="I95" s="14"/>
      <c r="K95" s="17" t="s">
        <v>3</v>
      </c>
      <c r="L95" s="17"/>
      <c r="M95" s="18"/>
      <c r="N95" s="18"/>
      <c r="O95" s="17"/>
      <c r="P95" s="17"/>
      <c r="Q95" s="17"/>
    </row>
    <row r="96" spans="1:17" x14ac:dyDescent="0.3">
      <c r="A96" s="5" t="s">
        <v>0</v>
      </c>
      <c r="B96" s="5"/>
      <c r="C96" s="15" t="s">
        <v>1</v>
      </c>
      <c r="D96" s="15" t="s">
        <v>8</v>
      </c>
      <c r="E96" s="15" t="s">
        <v>9</v>
      </c>
      <c r="F96" s="15" t="s">
        <v>10</v>
      </c>
      <c r="G96" s="15" t="s">
        <v>11</v>
      </c>
      <c r="H96" s="16" t="s">
        <v>6</v>
      </c>
      <c r="I96" s="16" t="s">
        <v>12</v>
      </c>
      <c r="J96" s="6"/>
      <c r="K96" s="18" t="s">
        <v>1</v>
      </c>
      <c r="L96" s="18" t="s">
        <v>8</v>
      </c>
      <c r="M96" s="18" t="s">
        <v>9</v>
      </c>
      <c r="N96" s="18" t="s">
        <v>10</v>
      </c>
      <c r="O96" s="18" t="s">
        <v>11</v>
      </c>
      <c r="P96" s="19" t="s">
        <v>6</v>
      </c>
      <c r="Q96" s="19" t="s">
        <v>12</v>
      </c>
    </row>
    <row r="97" spans="1:17" x14ac:dyDescent="0.3">
      <c r="A97">
        <v>0.1</v>
      </c>
      <c r="B97" s="4"/>
      <c r="C97" s="2"/>
      <c r="D97" s="2">
        <v>6.1377059341901304E-6</v>
      </c>
      <c r="E97" s="2">
        <v>6.5011853459754501E-10</v>
      </c>
      <c r="F97" s="2">
        <v>6.3252030232185003E-6</v>
      </c>
      <c r="G97" s="2">
        <v>9.6222765983219803E-9</v>
      </c>
      <c r="H97" s="7">
        <f t="shared" ref="H97:H109" si="20">F97/D97</f>
        <v>1.0305483988706459</v>
      </c>
      <c r="I97">
        <f>H97*((E97/D97)^2 +(G97/F97)^2)^0.5</f>
        <v>1.5715273902097899E-3</v>
      </c>
      <c r="J97" s="3"/>
      <c r="K97" s="2"/>
      <c r="L97" s="2">
        <v>1.6592058395195499E-6</v>
      </c>
      <c r="M97" s="2">
        <v>1.41505102275899E-10</v>
      </c>
      <c r="N97" s="2">
        <v>1.8483734702828199E-6</v>
      </c>
      <c r="O97" s="2">
        <v>1.55513175046048E-8</v>
      </c>
      <c r="P97" s="7">
        <f t="shared" ref="P97:P109" si="21">N97/L97</f>
        <v>1.1140109480437017</v>
      </c>
      <c r="Q97">
        <f>P97*((M97/L97)^2 +(O97/N97)^2)^0.5</f>
        <v>9.3732290926810593E-3</v>
      </c>
    </row>
    <row r="98" spans="1:17" x14ac:dyDescent="0.3">
      <c r="A98">
        <v>0.5</v>
      </c>
      <c r="B98" s="4"/>
      <c r="C98" s="2"/>
      <c r="D98" s="2">
        <v>3.1982922448625398E-5</v>
      </c>
      <c r="E98" s="2">
        <v>2.6566200546188399E-9</v>
      </c>
      <c r="F98" s="2">
        <v>3.4767174950012798E-5</v>
      </c>
      <c r="G98" s="2">
        <v>1.1875175668033E-7</v>
      </c>
      <c r="H98" s="7">
        <f t="shared" si="20"/>
        <v>1.0870543492659179</v>
      </c>
      <c r="I98">
        <f t="shared" ref="I98:I108" si="22">H98*((E98/D98)^2 +(G98/F98)^2)^0.5</f>
        <v>3.7140716760854261E-3</v>
      </c>
      <c r="J98" s="3"/>
      <c r="L98" s="2">
        <v>8.2939222535956595E-6</v>
      </c>
      <c r="M98" s="2">
        <v>6.5137642973133701E-10</v>
      </c>
      <c r="N98" s="2">
        <v>9.0584844834530308E-6</v>
      </c>
      <c r="O98" s="2">
        <v>3.4986008675390597E-8</v>
      </c>
      <c r="P98" s="7">
        <f t="shared" si="21"/>
        <v>1.0921834334202869</v>
      </c>
      <c r="Q98">
        <f t="shared" ref="Q98:Q108" si="23">P98*((M98/L98)^2 +(O98/N98)^2)^0.5</f>
        <v>4.2191426521967484E-3</v>
      </c>
    </row>
    <row r="99" spans="1:17" x14ac:dyDescent="0.3">
      <c r="A99">
        <v>1</v>
      </c>
      <c r="B99" s="4"/>
      <c r="C99" s="2"/>
      <c r="D99" s="2">
        <v>6.3953234731347494E-5</v>
      </c>
      <c r="E99" s="2">
        <v>4.1750562646257501E-9</v>
      </c>
      <c r="F99" s="2">
        <v>6.9186409819058705E-5</v>
      </c>
      <c r="G99" s="2">
        <v>1.5688061721788999E-7</v>
      </c>
      <c r="H99" s="7">
        <f t="shared" si="20"/>
        <v>1.0818281531762162</v>
      </c>
      <c r="I99">
        <f t="shared" si="22"/>
        <v>2.4540685652037473E-3</v>
      </c>
      <c r="J99" s="3"/>
      <c r="L99" s="2">
        <v>1.6584717487230401E-5</v>
      </c>
      <c r="M99" s="2">
        <v>9.5827412509581596E-10</v>
      </c>
      <c r="N99" s="2">
        <v>1.8015958629727299E-5</v>
      </c>
      <c r="O99" s="2">
        <v>4.7067091196410602E-8</v>
      </c>
      <c r="P99" s="7">
        <f t="shared" si="21"/>
        <v>1.0862987954783612</v>
      </c>
      <c r="Q99">
        <f t="shared" si="23"/>
        <v>2.8386736943042967E-3</v>
      </c>
    </row>
    <row r="100" spans="1:17" x14ac:dyDescent="0.3">
      <c r="A100">
        <v>10</v>
      </c>
      <c r="B100" s="4"/>
      <c r="C100" s="2"/>
      <c r="D100">
        <v>6.3770258635905503E-4</v>
      </c>
      <c r="E100" s="2">
        <v>1.7008235462207999E-7</v>
      </c>
      <c r="F100">
        <v>6.8424659690765797E-4</v>
      </c>
      <c r="G100" s="2">
        <v>1.26356866859494E-6</v>
      </c>
      <c r="H100" s="7">
        <f t="shared" si="20"/>
        <v>1.0729870186262607</v>
      </c>
      <c r="I100">
        <f t="shared" si="22"/>
        <v>2.0019983603584914E-3</v>
      </c>
      <c r="J100" s="3"/>
      <c r="L100">
        <v>1.65347418242078E-4</v>
      </c>
      <c r="M100" s="2">
        <v>4.4169022911434699E-8</v>
      </c>
      <c r="N100">
        <v>1.7808774168493101E-4</v>
      </c>
      <c r="O100" s="2">
        <v>3.7860183174411499E-7</v>
      </c>
      <c r="P100" s="7">
        <f t="shared" si="21"/>
        <v>1.077051843798374</v>
      </c>
      <c r="Q100">
        <f t="shared" si="23"/>
        <v>2.3077404266662912E-3</v>
      </c>
    </row>
    <row r="101" spans="1:17" x14ac:dyDescent="0.3">
      <c r="A101">
        <v>25</v>
      </c>
      <c r="B101" s="4"/>
      <c r="C101" s="2"/>
      <c r="D101">
        <v>1.58536962453175E-3</v>
      </c>
      <c r="E101" s="2">
        <v>8.2305883701450097E-7</v>
      </c>
      <c r="F101">
        <v>1.70168423125754E-3</v>
      </c>
      <c r="G101" s="2">
        <v>4.5751138691945904E-6</v>
      </c>
      <c r="H101" s="7">
        <f t="shared" si="20"/>
        <v>1.0733675005033254</v>
      </c>
      <c r="I101">
        <f t="shared" si="22"/>
        <v>2.9391435327145573E-3</v>
      </c>
      <c r="J101" s="3"/>
      <c r="L101">
        <v>4.1085203990469599E-4</v>
      </c>
      <c r="M101" s="2">
        <v>2.4691399158869002E-7</v>
      </c>
      <c r="N101">
        <v>4.4228220783613199E-4</v>
      </c>
      <c r="O101" s="2">
        <v>1.39675310994538E-6</v>
      </c>
      <c r="P101" s="7">
        <f t="shared" si="21"/>
        <v>1.0764999680632636</v>
      </c>
      <c r="Q101">
        <f t="shared" si="23"/>
        <v>3.4606604608369345E-3</v>
      </c>
    </row>
    <row r="102" spans="1:17" x14ac:dyDescent="0.3">
      <c r="A102">
        <v>50</v>
      </c>
      <c r="B102" s="4"/>
      <c r="C102" s="2"/>
      <c r="D102">
        <v>3.14770244875852E-3</v>
      </c>
      <c r="E102" s="2">
        <v>1.70471325451899E-6</v>
      </c>
      <c r="F102">
        <v>3.3690666583675402E-3</v>
      </c>
      <c r="G102" s="2">
        <v>7.0636227876246404E-6</v>
      </c>
      <c r="H102" s="7">
        <f t="shared" si="20"/>
        <v>1.0703256464715487</v>
      </c>
      <c r="I102">
        <f t="shared" si="22"/>
        <v>2.3177136631774022E-3</v>
      </c>
      <c r="J102" s="3"/>
      <c r="L102">
        <v>8.1568580924759203E-4</v>
      </c>
      <c r="M102" s="2">
        <v>4.4132856865932101E-7</v>
      </c>
      <c r="N102">
        <v>8.7599322258741696E-4</v>
      </c>
      <c r="O102" s="2">
        <v>2.1248965167792701E-6</v>
      </c>
      <c r="P102" s="7">
        <f t="shared" si="21"/>
        <v>1.0739346114105552</v>
      </c>
      <c r="Q102">
        <f t="shared" si="23"/>
        <v>2.6690584383735365E-3</v>
      </c>
    </row>
    <row r="103" spans="1:17" x14ac:dyDescent="0.3">
      <c r="A103">
        <v>75</v>
      </c>
      <c r="B103" s="4"/>
      <c r="C103" s="2"/>
      <c r="D103">
        <v>4.6821412877730796E-3</v>
      </c>
      <c r="E103" s="2">
        <v>2.9980531833075998E-6</v>
      </c>
      <c r="F103">
        <v>5.0102965379429602E-3</v>
      </c>
      <c r="G103" s="2">
        <v>7.41874286054488E-6</v>
      </c>
      <c r="H103" s="7">
        <f t="shared" si="20"/>
        <v>1.0700865757782285</v>
      </c>
      <c r="I103">
        <f t="shared" si="22"/>
        <v>1.7262841610951405E-3</v>
      </c>
      <c r="J103" s="3"/>
      <c r="L103">
        <v>1.21297096634525E-3</v>
      </c>
      <c r="M103" s="2">
        <v>6.5707220069548105E-7</v>
      </c>
      <c r="N103">
        <v>1.3016696026088199E-3</v>
      </c>
      <c r="O103" s="2">
        <v>2.2955550158876999E-6</v>
      </c>
      <c r="P103" s="7">
        <f t="shared" si="21"/>
        <v>1.0731251107607496</v>
      </c>
      <c r="Q103">
        <f t="shared" si="23"/>
        <v>1.9797749930070513E-3</v>
      </c>
    </row>
    <row r="104" spans="1:17" x14ac:dyDescent="0.3">
      <c r="A104">
        <v>100</v>
      </c>
      <c r="B104" s="4"/>
      <c r="C104" s="2"/>
      <c r="D104">
        <v>6.1899154453296098E-3</v>
      </c>
      <c r="E104" s="2">
        <v>4.0490717181387601E-6</v>
      </c>
      <c r="F104">
        <v>6.6193605525505898E-3</v>
      </c>
      <c r="G104" s="2">
        <v>8.7198128104074496E-6</v>
      </c>
      <c r="H104" s="7">
        <f t="shared" si="20"/>
        <v>1.0693781863442098</v>
      </c>
      <c r="I104">
        <f t="shared" si="22"/>
        <v>1.5728331790708799E-3</v>
      </c>
      <c r="J104" s="3"/>
      <c r="L104">
        <v>1.6025253128139399E-3</v>
      </c>
      <c r="M104" s="2">
        <v>8.43601312390377E-7</v>
      </c>
      <c r="N104">
        <v>1.7192967813367899E-3</v>
      </c>
      <c r="O104" s="2">
        <v>2.5653488738575302E-6</v>
      </c>
      <c r="P104" s="7">
        <f t="shared" si="21"/>
        <v>1.072867160093594</v>
      </c>
      <c r="Q104">
        <f t="shared" si="23"/>
        <v>1.6975241549356845E-3</v>
      </c>
    </row>
    <row r="105" spans="1:17" x14ac:dyDescent="0.3">
      <c r="A105">
        <v>150</v>
      </c>
      <c r="B105" s="4"/>
      <c r="C105" s="2"/>
      <c r="D105">
        <v>9.1206747221927297E-3</v>
      </c>
      <c r="E105" s="2">
        <v>1.71531604233736E-5</v>
      </c>
      <c r="F105">
        <v>9.7574042765682899E-3</v>
      </c>
      <c r="G105" s="2">
        <v>5.0763712104761498E-5</v>
      </c>
      <c r="H105" s="7">
        <f t="shared" si="20"/>
        <v>1.0698116722468183</v>
      </c>
      <c r="I105">
        <f t="shared" si="22"/>
        <v>5.9182800814773073E-3</v>
      </c>
      <c r="J105" s="3"/>
      <c r="L105">
        <v>2.3624849736499499E-3</v>
      </c>
      <c r="M105" s="2">
        <v>4.7793189465346599E-6</v>
      </c>
      <c r="N105">
        <v>2.5326367860936398E-3</v>
      </c>
      <c r="O105" s="2">
        <v>1.52949389777083E-5</v>
      </c>
      <c r="P105" s="7">
        <f t="shared" si="21"/>
        <v>1.0720223892814065</v>
      </c>
      <c r="Q105">
        <f t="shared" si="23"/>
        <v>6.8276732829171474E-3</v>
      </c>
    </row>
    <row r="106" spans="1:17" x14ac:dyDescent="0.3">
      <c r="A106">
        <v>250</v>
      </c>
      <c r="B106" s="4"/>
      <c r="C106" s="2"/>
      <c r="D106">
        <v>1.47299587411562E-2</v>
      </c>
      <c r="E106" s="2">
        <v>2.83634553943966E-5</v>
      </c>
      <c r="F106">
        <v>1.5695987941923999E-2</v>
      </c>
      <c r="G106" s="2">
        <v>6.5669723693706494E-5</v>
      </c>
      <c r="H106" s="7">
        <f t="shared" si="20"/>
        <v>1.0655826141636546</v>
      </c>
      <c r="I106">
        <f t="shared" si="22"/>
        <v>4.9077484642792522E-3</v>
      </c>
      <c r="J106" s="3"/>
      <c r="L106">
        <v>3.8066986683040699E-3</v>
      </c>
      <c r="M106" s="2">
        <v>7.1199445287493598E-6</v>
      </c>
      <c r="N106">
        <v>4.06594125013788E-3</v>
      </c>
      <c r="O106" s="2">
        <v>1.9233271963887199E-5</v>
      </c>
      <c r="P106" s="7">
        <f t="shared" si="21"/>
        <v>1.0681016819094078</v>
      </c>
      <c r="Q106">
        <f t="shared" si="23"/>
        <v>5.4330985143524625E-3</v>
      </c>
    </row>
    <row r="107" spans="1:17" x14ac:dyDescent="0.3">
      <c r="A107">
        <v>500</v>
      </c>
      <c r="B107" s="4"/>
      <c r="C107" s="2"/>
      <c r="D107">
        <v>2.7456267527901899E-2</v>
      </c>
      <c r="E107" s="2">
        <v>5.9948553995571798E-5</v>
      </c>
      <c r="F107">
        <v>2.8912613800000798E-2</v>
      </c>
      <c r="G107" s="2">
        <v>9.1012167694938599E-5</v>
      </c>
      <c r="H107" s="7">
        <f t="shared" si="20"/>
        <v>1.0530423980833854</v>
      </c>
      <c r="I107">
        <f t="shared" si="22"/>
        <v>4.0341548620963352E-3</v>
      </c>
      <c r="J107" s="3"/>
      <c r="L107">
        <v>7.0792469987117704E-3</v>
      </c>
      <c r="M107" s="2">
        <v>1.4039153971000801E-5</v>
      </c>
      <c r="N107">
        <v>7.4545207369257497E-3</v>
      </c>
      <c r="O107" s="2">
        <v>2.74836429813361E-5</v>
      </c>
      <c r="P107" s="7">
        <f t="shared" si="21"/>
        <v>1.0530104032649614</v>
      </c>
      <c r="Q107">
        <f t="shared" si="23"/>
        <v>4.4082869149599533E-3</v>
      </c>
    </row>
    <row r="108" spans="1:17" x14ac:dyDescent="0.3">
      <c r="A108">
        <v>750</v>
      </c>
      <c r="B108" s="4"/>
      <c r="D108">
        <v>3.8497051854446997E-2</v>
      </c>
      <c r="E108" s="2">
        <v>6.8482694464160805E-5</v>
      </c>
      <c r="F108">
        <v>4.0528418631172798E-2</v>
      </c>
      <c r="G108">
        <v>1.2503969593389799E-4</v>
      </c>
      <c r="H108" s="7">
        <f t="shared" si="20"/>
        <v>1.0527668140512725</v>
      </c>
      <c r="I108">
        <f t="shared" si="22"/>
        <v>3.7492671226656503E-3</v>
      </c>
      <c r="J108" s="4"/>
      <c r="L108">
        <v>9.8591559798638494E-3</v>
      </c>
      <c r="M108" s="2">
        <v>1.78953637014576E-5</v>
      </c>
      <c r="N108">
        <v>1.03866620055335E-2</v>
      </c>
      <c r="O108" s="2">
        <v>3.5045910152349199E-5</v>
      </c>
      <c r="P108" s="7">
        <f t="shared" si="21"/>
        <v>1.0535041769038871</v>
      </c>
      <c r="Q108">
        <f t="shared" si="23"/>
        <v>4.0363538835675129E-3</v>
      </c>
    </row>
    <row r="109" spans="1:17" x14ac:dyDescent="0.3">
      <c r="A109">
        <v>999.99</v>
      </c>
      <c r="B109" s="4"/>
      <c r="D109">
        <v>4.6422474047506802E-2</v>
      </c>
      <c r="E109" s="2">
        <v>4.3252132292944603E-5</v>
      </c>
      <c r="F109">
        <v>4.8246079336616003E-2</v>
      </c>
      <c r="G109" s="2">
        <v>4.9195732418165402E-5</v>
      </c>
      <c r="H109" s="7">
        <f t="shared" si="20"/>
        <v>1.0392828113220118</v>
      </c>
      <c r="I109">
        <f>H109*((E109/D109)^2 +(G109/F109)^2)^0.5</f>
        <v>1.4355020089272224E-3</v>
      </c>
      <c r="J109" s="4"/>
      <c r="L109">
        <v>1.21377195834136E-2</v>
      </c>
      <c r="M109" s="2">
        <v>2.3785825815868901E-5</v>
      </c>
      <c r="N109">
        <v>1.2901873532126599E-2</v>
      </c>
      <c r="O109" s="2">
        <v>3.9818562387638897E-5</v>
      </c>
      <c r="P109" s="7">
        <f t="shared" si="21"/>
        <v>1.0629569618462127</v>
      </c>
      <c r="Q109">
        <f>P109*((M109/L109)^2 +(O109/N109)^2)^0.5</f>
        <v>3.8860182732644031E-3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Park</dc:creator>
  <cp:lastModifiedBy>Patrick Park</cp:lastModifiedBy>
  <dcterms:created xsi:type="dcterms:W3CDTF">2015-06-05T18:17:20Z</dcterms:created>
  <dcterms:modified xsi:type="dcterms:W3CDTF">2026-04-09T04:24:37Z</dcterms:modified>
</cp:coreProperties>
</file>