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wsl.localhost\Ubuntu\home\patri\projects\emma-openmc\Jupyter\Wedge\"/>
    </mc:Choice>
  </mc:AlternateContent>
  <xr:revisionPtr revIDLastSave="0" documentId="13_ncr:1_{7B184866-94F8-47FB-9604-EE9CD1C46C89}" xr6:coauthVersionLast="47" xr6:coauthVersionMax="47" xr10:uidLastSave="{00000000-0000-0000-0000-000000000000}"/>
  <bookViews>
    <workbookView xWindow="-108" yWindow="-108" windowWidth="30936" windowHeight="17496" xr2:uid="{00000000-000D-0000-FFFF-FFFF00000000}"/>
  </bookViews>
  <sheets>
    <sheet name="Sheet 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7" i="3" l="1"/>
  <c r="K78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K93" i="3"/>
  <c r="K92" i="3"/>
  <c r="K91" i="3"/>
  <c r="K90" i="3"/>
  <c r="K89" i="3"/>
  <c r="K88" i="3"/>
  <c r="K87" i="3"/>
  <c r="K86" i="3"/>
  <c r="K85" i="3"/>
  <c r="K84" i="3"/>
  <c r="K83" i="3"/>
  <c r="F67" i="3"/>
  <c r="F68" i="3"/>
  <c r="F69" i="3"/>
  <c r="F70" i="3"/>
  <c r="F71" i="3"/>
  <c r="F72" i="3"/>
  <c r="F73" i="3"/>
  <c r="F74" i="3"/>
  <c r="F75" i="3"/>
  <c r="F76" i="3"/>
  <c r="F77" i="3"/>
  <c r="F78" i="3"/>
  <c r="F49" i="3"/>
  <c r="F50" i="3"/>
  <c r="F51" i="3"/>
  <c r="F52" i="3"/>
  <c r="F53" i="3"/>
  <c r="F54" i="3"/>
  <c r="F55" i="3"/>
  <c r="F56" i="3"/>
  <c r="F57" i="3"/>
  <c r="F58" i="3"/>
  <c r="F59" i="3"/>
  <c r="F60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K76" i="3"/>
  <c r="K75" i="3"/>
  <c r="K74" i="3"/>
  <c r="K73" i="3"/>
  <c r="K72" i="3"/>
  <c r="K71" i="3"/>
  <c r="K70" i="3"/>
  <c r="K69" i="3"/>
  <c r="K68" i="3"/>
  <c r="K67" i="3"/>
  <c r="K66" i="3"/>
  <c r="F66" i="3"/>
  <c r="K58" i="3"/>
  <c r="K57" i="3"/>
  <c r="K56" i="3"/>
  <c r="K55" i="3"/>
  <c r="K54" i="3"/>
  <c r="K53" i="3"/>
  <c r="K52" i="3"/>
  <c r="K51" i="3"/>
  <c r="K50" i="3"/>
  <c r="K49" i="3"/>
  <c r="K48" i="3"/>
  <c r="F48" i="3"/>
  <c r="K26" i="3"/>
  <c r="K5" i="3"/>
  <c r="F26" i="3" l="1"/>
  <c r="F5" i="3" l="1"/>
</calcChain>
</file>

<file path=xl/sharedStrings.xml><?xml version="1.0" encoding="utf-8"?>
<sst xmlns="http://schemas.openxmlformats.org/spreadsheetml/2006/main" count="61" uniqueCount="11">
  <si>
    <t>Fertile kg/m3</t>
  </si>
  <si>
    <t>D-shape</t>
  </si>
  <si>
    <t>TRITIUM BREEDING RATIO [ RXNS/SRC-N ]</t>
  </si>
  <si>
    <t>Thorium BISO</t>
  </si>
  <si>
    <t>Uranium BISO</t>
  </si>
  <si>
    <t>FISSILE PRODUCTION RATE [ RXNS/SRC-N ]</t>
  </si>
  <si>
    <t>Wedge-C</t>
  </si>
  <si>
    <t>Wedge-A</t>
  </si>
  <si>
    <t>=C/A</t>
  </si>
  <si>
    <t>DCLL-Greta</t>
  </si>
  <si>
    <t>FISSILE PRODUCTION RATE ERROR PROPAGATION [ RXNS/SRC-N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</si>
</sst>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color rgb="FF00B0F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3" borderId="0" xfId="0" applyFill="1"/>
    <xf numFmtId="0" fontId="0" fillId="4" borderId="0" xfId="0" applyFill="1"/>
    <xf numFmtId="11" fontId="0" fillId="4" borderId="0" xfId="0" applyNumberFormat="1" applyFill="1"/>
    <xf numFmtId="0" fontId="1" fillId="2" borderId="0" xfId="0" applyFont="1" applyFill="1"/>
    <xf numFmtId="0" fontId="1" fillId="2" borderId="0" xfId="0" quotePrefix="1" applyFont="1" applyFill="1"/>
    <xf numFmtId="0" fontId="0" fillId="2" borderId="0" xfId="0" applyFill="1"/>
    <xf numFmtId="0" fontId="1" fillId="3" borderId="0" xfId="0" applyFont="1" applyFill="1"/>
    <xf numFmtId="164" fontId="0" fillId="0" borderId="0" xfId="0" applyNumberFormat="1"/>
    <xf numFmtId="164" fontId="0" fillId="4" borderId="0" xfId="0" applyNumberFormat="1" applyFill="1"/>
    <xf numFmtId="11" fontId="2" fillId="0" borderId="0" xfId="0" applyNumberFormat="1" applyFont="1"/>
    <xf numFmtId="0" fontId="3" fillId="0" borderId="0" xfId="0" applyFont="1"/>
    <xf numFmtId="11" fontId="4" fillId="0" borderId="0" xfId="0" applyNumberFormat="1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1'!$A$26:$A$40</c:f>
              <c:numCache>
                <c:formatCode>General</c:formatCode>
                <c:ptCount val="15"/>
                <c:pt idx="0">
                  <c:v>0.1</c:v>
                </c:pt>
                <c:pt idx="1">
                  <c:v>0.5</c:v>
                </c:pt>
                <c:pt idx="2">
                  <c:v>1.5</c:v>
                </c:pt>
                <c:pt idx="3">
                  <c:v>10</c:v>
                </c:pt>
                <c:pt idx="4">
                  <c:v>15</c:v>
                </c:pt>
                <c:pt idx="5">
                  <c:v>30</c:v>
                </c:pt>
                <c:pt idx="6">
                  <c:v>60</c:v>
                </c:pt>
                <c:pt idx="7">
                  <c:v>90</c:v>
                </c:pt>
                <c:pt idx="8">
                  <c:v>100</c:v>
                </c:pt>
                <c:pt idx="9">
                  <c:v>120</c:v>
                </c:pt>
                <c:pt idx="10">
                  <c:v>150</c:v>
                </c:pt>
                <c:pt idx="11">
                  <c:v>250</c:v>
                </c:pt>
                <c:pt idx="12">
                  <c:v>500</c:v>
                </c:pt>
                <c:pt idx="13">
                  <c:v>750</c:v>
                </c:pt>
                <c:pt idx="14">
                  <c:v>1000</c:v>
                </c:pt>
              </c:numCache>
            </c:numRef>
          </c:xVal>
          <c:yVal>
            <c:numRef>
              <c:f>'Sheet 1'!$F$26:$F$40</c:f>
              <c:numCache>
                <c:formatCode>0.000000</c:formatCode>
                <c:ptCount val="15"/>
                <c:pt idx="0">
                  <c:v>0.7274775745944605</c:v>
                </c:pt>
                <c:pt idx="1">
                  <c:v>0.64347975683918834</c:v>
                </c:pt>
                <c:pt idx="2">
                  <c:v>0.49583688440425344</c:v>
                </c:pt>
                <c:pt idx="3">
                  <c:v>0.66859607525333198</c:v>
                </c:pt>
                <c:pt idx="4">
                  <c:v>0.73291562987349301</c:v>
                </c:pt>
                <c:pt idx="5">
                  <c:v>0.74746751893992558</c:v>
                </c:pt>
                <c:pt idx="6">
                  <c:v>0.78627670393149318</c:v>
                </c:pt>
                <c:pt idx="7">
                  <c:v>0.87619376520123537</c:v>
                </c:pt>
                <c:pt idx="8">
                  <c:v>0.86809490045634352</c:v>
                </c:pt>
                <c:pt idx="9">
                  <c:v>0.79255474288640204</c:v>
                </c:pt>
                <c:pt idx="10">
                  <c:v>0.90551396638088599</c:v>
                </c:pt>
                <c:pt idx="11">
                  <c:v>0.92837643974491146</c:v>
                </c:pt>
                <c:pt idx="12">
                  <c:v>0.93787715524054671</c:v>
                </c:pt>
                <c:pt idx="13">
                  <c:v>1.0174259839976012</c:v>
                </c:pt>
                <c:pt idx="14">
                  <c:v>1.0246283267351703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5A-449C-BA40-26C8A0D4DFC0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1'!$A$26:$A$40</c:f>
              <c:numCache>
                <c:formatCode>General</c:formatCode>
                <c:ptCount val="15"/>
                <c:pt idx="0">
                  <c:v>0.1</c:v>
                </c:pt>
                <c:pt idx="1">
                  <c:v>0.5</c:v>
                </c:pt>
                <c:pt idx="2">
                  <c:v>1.5</c:v>
                </c:pt>
                <c:pt idx="3">
                  <c:v>10</c:v>
                </c:pt>
                <c:pt idx="4">
                  <c:v>15</c:v>
                </c:pt>
                <c:pt idx="5">
                  <c:v>30</c:v>
                </c:pt>
                <c:pt idx="6">
                  <c:v>60</c:v>
                </c:pt>
                <c:pt idx="7">
                  <c:v>90</c:v>
                </c:pt>
                <c:pt idx="8">
                  <c:v>100</c:v>
                </c:pt>
                <c:pt idx="9">
                  <c:v>120</c:v>
                </c:pt>
                <c:pt idx="10">
                  <c:v>150</c:v>
                </c:pt>
                <c:pt idx="11">
                  <c:v>250</c:v>
                </c:pt>
                <c:pt idx="12">
                  <c:v>500</c:v>
                </c:pt>
                <c:pt idx="13">
                  <c:v>750</c:v>
                </c:pt>
                <c:pt idx="14">
                  <c:v>1000</c:v>
                </c:pt>
              </c:numCache>
            </c:numRef>
          </c:xVal>
          <c:yVal>
            <c:numRef>
              <c:f>'Sheet 1'!$K$26:$K$40</c:f>
              <c:numCache>
                <c:formatCode>0.000000</c:formatCode>
                <c:ptCount val="15"/>
                <c:pt idx="0">
                  <c:v>0.29264705217301878</c:v>
                </c:pt>
                <c:pt idx="1">
                  <c:v>1.3315375295667062</c:v>
                </c:pt>
                <c:pt idx="2">
                  <c:v>0.8971337860952534</c:v>
                </c:pt>
                <c:pt idx="3">
                  <c:v>0.86727127408207016</c:v>
                </c:pt>
                <c:pt idx="4">
                  <c:v>0.96019947785672299</c:v>
                </c:pt>
                <c:pt idx="5">
                  <c:v>0.82054207267800461</c:v>
                </c:pt>
                <c:pt idx="6">
                  <c:v>0.89620098412984728</c:v>
                </c:pt>
                <c:pt idx="7">
                  <c:v>0.99789498609321658</c:v>
                </c:pt>
                <c:pt idx="8">
                  <c:v>0.92546657383389286</c:v>
                </c:pt>
                <c:pt idx="9">
                  <c:v>0.95340718196328889</c:v>
                </c:pt>
                <c:pt idx="10">
                  <c:v>0.94899688560909901</c:v>
                </c:pt>
                <c:pt idx="11">
                  <c:v>0.9624346474925255</c:v>
                </c:pt>
                <c:pt idx="12">
                  <c:v>1.0215461604572156</c:v>
                </c:pt>
                <c:pt idx="13">
                  <c:v>1.0753115641669349</c:v>
                </c:pt>
                <c:pt idx="14">
                  <c:v>1.0025476893384362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5A-449C-BA40-26C8A0D4DF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3801328"/>
        <c:axId val="1647516927"/>
      </c:scatterChart>
      <c:valAx>
        <c:axId val="1393801328"/>
        <c:scaling>
          <c:orientation val="minMax"/>
          <c:max val="10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516927"/>
        <c:crosses val="autoZero"/>
        <c:crossBetween val="midCat"/>
      </c:valAx>
      <c:valAx>
        <c:axId val="1647516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3801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1"/>
            <c:dispRSqr val="1"/>
            <c:dispEq val="1"/>
            <c:trendlineLbl>
              <c:layout>
                <c:manualLayout>
                  <c:x val="0.11546806649168855"/>
                  <c:y val="0.182226260179016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'Sheet 1'!$A$5:$A$19</c:f>
              <c:numCache>
                <c:formatCode>General</c:formatCode>
                <c:ptCount val="15"/>
                <c:pt idx="0">
                  <c:v>0.1</c:v>
                </c:pt>
                <c:pt idx="1">
                  <c:v>0.5</c:v>
                </c:pt>
                <c:pt idx="2">
                  <c:v>1.5</c:v>
                </c:pt>
                <c:pt idx="3">
                  <c:v>10</c:v>
                </c:pt>
                <c:pt idx="4">
                  <c:v>15</c:v>
                </c:pt>
                <c:pt idx="5">
                  <c:v>30</c:v>
                </c:pt>
                <c:pt idx="6">
                  <c:v>60</c:v>
                </c:pt>
                <c:pt idx="7">
                  <c:v>90</c:v>
                </c:pt>
                <c:pt idx="8">
                  <c:v>100</c:v>
                </c:pt>
                <c:pt idx="9">
                  <c:v>120</c:v>
                </c:pt>
                <c:pt idx="10">
                  <c:v>150</c:v>
                </c:pt>
                <c:pt idx="11">
                  <c:v>250</c:v>
                </c:pt>
                <c:pt idx="12">
                  <c:v>500</c:v>
                </c:pt>
                <c:pt idx="13">
                  <c:v>750</c:v>
                </c:pt>
                <c:pt idx="14">
                  <c:v>999.99</c:v>
                </c:pt>
              </c:numCache>
            </c:numRef>
          </c:xVal>
          <c:yVal>
            <c:numRef>
              <c:f>'Sheet 1'!$F$5:$F$19</c:f>
              <c:numCache>
                <c:formatCode>0.000000</c:formatCode>
                <c:ptCount val="15"/>
                <c:pt idx="0">
                  <c:v>1.0120583199660715</c:v>
                </c:pt>
                <c:pt idx="1">
                  <c:v>0.98723674640081305</c:v>
                </c:pt>
                <c:pt idx="2">
                  <c:v>0.97352011835670349</c:v>
                </c:pt>
                <c:pt idx="3">
                  <c:v>0.98670947182667379</c:v>
                </c:pt>
                <c:pt idx="4">
                  <c:v>1.0274179661023068</c:v>
                </c:pt>
                <c:pt idx="5">
                  <c:v>0.9995818870330847</c:v>
                </c:pt>
                <c:pt idx="6">
                  <c:v>1.0035538292803527</c:v>
                </c:pt>
                <c:pt idx="7">
                  <c:v>1.0225693897940391</c:v>
                </c:pt>
                <c:pt idx="8">
                  <c:v>1.0133855529616367</c:v>
                </c:pt>
                <c:pt idx="9">
                  <c:v>1.0168926589087053</c:v>
                </c:pt>
                <c:pt idx="10">
                  <c:v>1.0023371440138709</c:v>
                </c:pt>
                <c:pt idx="11">
                  <c:v>0.99143857028386306</c:v>
                </c:pt>
                <c:pt idx="12">
                  <c:v>0.99628894469879192</c:v>
                </c:pt>
                <c:pt idx="13">
                  <c:v>1.0133076136706871</c:v>
                </c:pt>
                <c:pt idx="14">
                  <c:v>0.98894242420015732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61-4DCE-9286-72E05B5CD6AC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1"/>
            <c:dispRSqr val="1"/>
            <c:dispEq val="1"/>
            <c:trendlineLbl>
              <c:layout>
                <c:manualLayout>
                  <c:x val="-0.14286526684164486"/>
                  <c:y val="-1.116452991452991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'Sheet 1'!$A$5:$A$19</c:f>
              <c:numCache>
                <c:formatCode>General</c:formatCode>
                <c:ptCount val="15"/>
                <c:pt idx="0">
                  <c:v>0.1</c:v>
                </c:pt>
                <c:pt idx="1">
                  <c:v>0.5</c:v>
                </c:pt>
                <c:pt idx="2">
                  <c:v>1.5</c:v>
                </c:pt>
                <c:pt idx="3">
                  <c:v>10</c:v>
                </c:pt>
                <c:pt idx="4">
                  <c:v>15</c:v>
                </c:pt>
                <c:pt idx="5">
                  <c:v>30</c:v>
                </c:pt>
                <c:pt idx="6">
                  <c:v>60</c:v>
                </c:pt>
                <c:pt idx="7">
                  <c:v>90</c:v>
                </c:pt>
                <c:pt idx="8">
                  <c:v>100</c:v>
                </c:pt>
                <c:pt idx="9">
                  <c:v>120</c:v>
                </c:pt>
                <c:pt idx="10">
                  <c:v>150</c:v>
                </c:pt>
                <c:pt idx="11">
                  <c:v>250</c:v>
                </c:pt>
                <c:pt idx="12">
                  <c:v>500</c:v>
                </c:pt>
                <c:pt idx="13">
                  <c:v>750</c:v>
                </c:pt>
                <c:pt idx="14">
                  <c:v>999.99</c:v>
                </c:pt>
              </c:numCache>
            </c:numRef>
          </c:xVal>
          <c:yVal>
            <c:numRef>
              <c:f>'Sheet 1'!$K$5:$K$19</c:f>
              <c:numCache>
                <c:formatCode>0.000000</c:formatCode>
                <c:ptCount val="15"/>
                <c:pt idx="0">
                  <c:v>1.0124595607074192</c:v>
                </c:pt>
                <c:pt idx="1">
                  <c:v>0.98955684846579572</c:v>
                </c:pt>
                <c:pt idx="2">
                  <c:v>0.97266576371713243</c:v>
                </c:pt>
                <c:pt idx="3">
                  <c:v>0.99532217045916183</c:v>
                </c:pt>
                <c:pt idx="4">
                  <c:v>1.0246126531897757</c:v>
                </c:pt>
                <c:pt idx="5">
                  <c:v>0.99123212311197628</c:v>
                </c:pt>
                <c:pt idx="6">
                  <c:v>1.0019803232436455</c:v>
                </c:pt>
                <c:pt idx="7">
                  <c:v>1.0235838898658773</c:v>
                </c:pt>
                <c:pt idx="8">
                  <c:v>1.0328136474978709</c:v>
                </c:pt>
                <c:pt idx="9">
                  <c:v>0.99238859087523068</c:v>
                </c:pt>
                <c:pt idx="10">
                  <c:v>1.0068419602917082</c:v>
                </c:pt>
                <c:pt idx="11">
                  <c:v>1.0041778550412717</c:v>
                </c:pt>
                <c:pt idx="12">
                  <c:v>1.0147327958753034</c:v>
                </c:pt>
                <c:pt idx="13">
                  <c:v>1.0192489706741765</c:v>
                </c:pt>
                <c:pt idx="14">
                  <c:v>0.9824392574158276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61-4DCE-9286-72E05B5CD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1289503"/>
        <c:axId val="1641287583"/>
      </c:scatterChart>
      <c:valAx>
        <c:axId val="1641289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1287583"/>
        <c:crosses val="autoZero"/>
        <c:crossBetween val="midCat"/>
      </c:valAx>
      <c:valAx>
        <c:axId val="1641287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1289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 1'!$F$65</c:f>
              <c:strCache>
                <c:ptCount val="1"/>
                <c:pt idx="0">
                  <c:v>=C/A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1'!$A$66:$A$76</c:f>
              <c:numCache>
                <c:formatCode>General</c:formatCode>
                <c:ptCount val="11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</c:numCache>
            </c:numRef>
          </c:xVal>
          <c:yVal>
            <c:numRef>
              <c:f>'Sheet 1'!$F$66:$F$76</c:f>
              <c:numCache>
                <c:formatCode>0.000000</c:formatCode>
                <c:ptCount val="11"/>
                <c:pt idx="0">
                  <c:v>0.98141967163352228</c:v>
                </c:pt>
                <c:pt idx="1">
                  <c:v>0.92802141334950694</c:v>
                </c:pt>
                <c:pt idx="2">
                  <c:v>1.0257080460192236</c:v>
                </c:pt>
                <c:pt idx="3">
                  <c:v>1.0646127665011473</c:v>
                </c:pt>
                <c:pt idx="4">
                  <c:v>1.0753237074121145</c:v>
                </c:pt>
                <c:pt idx="5">
                  <c:v>1.0422360763919929</c:v>
                </c:pt>
                <c:pt idx="6">
                  <c:v>1.0978441524727602</c:v>
                </c:pt>
                <c:pt idx="7">
                  <c:v>1.0378247495664441</c:v>
                </c:pt>
                <c:pt idx="8">
                  <c:v>1.0332088675177227</c:v>
                </c:pt>
                <c:pt idx="9">
                  <c:v>1.1033275421994369</c:v>
                </c:pt>
                <c:pt idx="10">
                  <c:v>1.0613255687481478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CE-479C-9EA8-30A245A083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616576"/>
        <c:axId val="114617056"/>
      </c:scatterChart>
      <c:valAx>
        <c:axId val="114616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17056"/>
        <c:crosses val="autoZero"/>
        <c:crossBetween val="midCat"/>
      </c:valAx>
      <c:valAx>
        <c:axId val="11461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16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 1'!$F$47</c:f>
              <c:strCache>
                <c:ptCount val="1"/>
                <c:pt idx="0">
                  <c:v>=C/A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1'!$A$48:$A$58</c:f>
              <c:numCache>
                <c:formatCode>General</c:formatCode>
                <c:ptCount val="11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</c:numCache>
            </c:numRef>
          </c:xVal>
          <c:yVal>
            <c:numRef>
              <c:f>'Sheet 1'!$F$48:$F$58</c:f>
              <c:numCache>
                <c:formatCode>0.000000</c:formatCode>
                <c:ptCount val="11"/>
                <c:pt idx="0">
                  <c:v>0.9985035371420129</c:v>
                </c:pt>
                <c:pt idx="1">
                  <c:v>0.98715209394887005</c:v>
                </c:pt>
                <c:pt idx="2">
                  <c:v>0.99284501043036377</c:v>
                </c:pt>
                <c:pt idx="3">
                  <c:v>1.0204895071175968</c:v>
                </c:pt>
                <c:pt idx="4">
                  <c:v>1.0049119467662411</c:v>
                </c:pt>
                <c:pt idx="5">
                  <c:v>0.99460716116426584</c:v>
                </c:pt>
                <c:pt idx="6">
                  <c:v>1.0195310334465668</c:v>
                </c:pt>
                <c:pt idx="7">
                  <c:v>0.98333502299608533</c:v>
                </c:pt>
                <c:pt idx="8">
                  <c:v>0.98631763108404502</c:v>
                </c:pt>
                <c:pt idx="9">
                  <c:v>1.0290963972436542</c:v>
                </c:pt>
                <c:pt idx="10">
                  <c:v>0.99666881879093805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96-4BEB-84E0-6A0C66B7B7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977952"/>
        <c:axId val="111975072"/>
      </c:scatterChart>
      <c:valAx>
        <c:axId val="111977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975072"/>
        <c:crosses val="autoZero"/>
        <c:crossBetween val="midCat"/>
      </c:valAx>
      <c:valAx>
        <c:axId val="11197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977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132179</xdr:colOff>
      <xdr:row>22</xdr:row>
      <xdr:rowOff>56857</xdr:rowOff>
    </xdr:from>
    <xdr:to>
      <xdr:col>19</xdr:col>
      <xdr:colOff>436979</xdr:colOff>
      <xdr:row>41</xdr:row>
      <xdr:rowOff>56857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BBF6084-11AA-97F7-53C2-9A86E48D26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300990</xdr:colOff>
      <xdr:row>2</xdr:row>
      <xdr:rowOff>99060</xdr:rowOff>
    </xdr:from>
    <xdr:to>
      <xdr:col>19</xdr:col>
      <xdr:colOff>605790</xdr:colOff>
      <xdr:row>18</xdr:row>
      <xdr:rowOff>99060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38D171C-51DC-A2DA-08F3-A64A456D65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868680</xdr:colOff>
      <xdr:row>61</xdr:row>
      <xdr:rowOff>76200</xdr:rowOff>
    </xdr:from>
    <xdr:to>
      <xdr:col>19</xdr:col>
      <xdr:colOff>198120</xdr:colOff>
      <xdr:row>76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2018F3B-2271-EEFD-8B60-2D067E4795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929640</xdr:colOff>
      <xdr:row>44</xdr:row>
      <xdr:rowOff>7620</xdr:rowOff>
    </xdr:from>
    <xdr:to>
      <xdr:col>19</xdr:col>
      <xdr:colOff>259080</xdr:colOff>
      <xdr:row>60</xdr:row>
      <xdr:rowOff>7620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82A22E-8B90-A0A4-CE77-0333E07A72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16C2-1180-4450-A3B0-0B08DD9AEC85}">
  <dimension ref="A1:L95"/>
  <sheetViews>
    <sheetView tabSelected="1" topLeftCell="A46" zoomScale="115" zoomScaleNormal="115" workbookViewId="0">
      <selection activeCell="L70" sqref="L70"/>
    </sheetView>
  </sheetViews>
  <sheetFormatPr defaultRowHeight="14.4" x14ac:dyDescent="0.3"/>
  <cols>
    <col min="1" max="1" width="12.33203125" customWidth="1"/>
    <col min="2" max="2" width="2.109375" customWidth="1"/>
    <col min="3" max="4" width="12.21875" customWidth="1"/>
    <col min="5" max="5" width="15.88671875" customWidth="1"/>
    <col min="6" max="6" width="15.6640625" customWidth="1"/>
    <col min="7" max="7" width="2.77734375" customWidth="1"/>
    <col min="8" max="11" width="13.33203125" customWidth="1"/>
    <col min="12" max="12" width="14.21875" customWidth="1"/>
  </cols>
  <sheetData>
    <row r="1" spans="1:12" x14ac:dyDescent="0.3">
      <c r="H1" s="1"/>
      <c r="I1" s="1"/>
      <c r="J1" s="1"/>
      <c r="K1" s="1"/>
    </row>
    <row r="2" spans="1:12" x14ac:dyDescent="0.3">
      <c r="C2" s="14" t="s">
        <v>2</v>
      </c>
      <c r="D2" s="14"/>
      <c r="E2" s="15"/>
      <c r="H2" s="2"/>
      <c r="I2" s="2"/>
      <c r="J2" s="2"/>
      <c r="K2" s="2"/>
    </row>
    <row r="3" spans="1:12" x14ac:dyDescent="0.3">
      <c r="C3" s="3" t="s">
        <v>4</v>
      </c>
      <c r="D3" s="3"/>
      <c r="E3" s="9"/>
      <c r="F3" s="3"/>
      <c r="H3" s="3" t="s">
        <v>3</v>
      </c>
      <c r="I3" s="3"/>
      <c r="J3" s="9"/>
      <c r="K3" s="9"/>
      <c r="L3" s="3"/>
    </row>
    <row r="4" spans="1:12" x14ac:dyDescent="0.3">
      <c r="A4" s="6" t="s">
        <v>0</v>
      </c>
      <c r="B4" s="6"/>
      <c r="C4" s="6" t="s">
        <v>1</v>
      </c>
      <c r="D4" s="6" t="s">
        <v>7</v>
      </c>
      <c r="E4" s="6" t="s">
        <v>6</v>
      </c>
      <c r="F4" s="7" t="s">
        <v>8</v>
      </c>
      <c r="G4" s="8"/>
      <c r="H4" s="6" t="s">
        <v>1</v>
      </c>
      <c r="I4" s="6" t="s">
        <v>7</v>
      </c>
      <c r="J4" s="6" t="s">
        <v>6</v>
      </c>
      <c r="K4" s="7" t="s">
        <v>8</v>
      </c>
      <c r="L4" s="7"/>
    </row>
    <row r="5" spans="1:12" x14ac:dyDescent="0.3">
      <c r="A5">
        <v>0.1</v>
      </c>
      <c r="B5" s="5"/>
      <c r="C5">
        <v>1.4063862998066801</v>
      </c>
      <c r="D5">
        <v>1.3686193553583801</v>
      </c>
      <c r="E5">
        <v>1.38512260545705</v>
      </c>
      <c r="F5" s="10">
        <f>E5/D5</f>
        <v>1.0120583199660715</v>
      </c>
      <c r="G5" s="4"/>
      <c r="H5">
        <v>1.4074651112049299</v>
      </c>
      <c r="I5">
        <v>1.3681177802680899</v>
      </c>
      <c r="J5">
        <v>1.3851639268062399</v>
      </c>
      <c r="K5" s="10">
        <f>J5/I5</f>
        <v>1.0124595607074192</v>
      </c>
      <c r="L5" s="10"/>
    </row>
    <row r="6" spans="1:12" x14ac:dyDescent="0.3">
      <c r="A6">
        <v>0.5</v>
      </c>
      <c r="B6" s="5"/>
      <c r="C6">
        <v>1.4065448393936499</v>
      </c>
      <c r="D6">
        <v>1.3922831524096599</v>
      </c>
      <c r="E6">
        <v>1.37451308945358</v>
      </c>
      <c r="F6" s="10">
        <f t="shared" ref="F6:F19" si="0">E6/D6</f>
        <v>0.98723674640081305</v>
      </c>
      <c r="G6" s="4"/>
      <c r="H6">
        <v>1.4079920998080599</v>
      </c>
      <c r="I6">
        <v>1.3884228746446901</v>
      </c>
      <c r="J6">
        <v>1.3739233641712201</v>
      </c>
      <c r="K6" s="10">
        <f t="shared" ref="K6:K19" si="1">J6/I6</f>
        <v>0.98955684846579572</v>
      </c>
      <c r="L6" s="10"/>
    </row>
    <row r="7" spans="1:12" x14ac:dyDescent="0.3">
      <c r="A7">
        <v>1.5</v>
      </c>
      <c r="B7" s="5"/>
      <c r="C7">
        <v>1.40593053429746</v>
      </c>
      <c r="D7">
        <v>1.4141178954362701</v>
      </c>
      <c r="E7">
        <v>1.3766722209354501</v>
      </c>
      <c r="F7" s="10">
        <f t="shared" si="0"/>
        <v>0.97352011835670349</v>
      </c>
      <c r="G7" s="4"/>
      <c r="H7">
        <v>1.4079445884292401</v>
      </c>
      <c r="I7">
        <v>1.4147283449213399</v>
      </c>
      <c r="J7">
        <v>1.3760578260651899</v>
      </c>
      <c r="K7" s="10">
        <f t="shared" si="1"/>
        <v>0.97266576371713243</v>
      </c>
      <c r="L7" s="10"/>
    </row>
    <row r="8" spans="1:12" x14ac:dyDescent="0.3">
      <c r="A8">
        <v>10</v>
      </c>
      <c r="B8" s="5"/>
      <c r="C8">
        <v>1.39838837861919</v>
      </c>
      <c r="D8">
        <v>1.4052374449883001</v>
      </c>
      <c r="E8">
        <v>1.38656109713547</v>
      </c>
      <c r="F8" s="10">
        <f t="shared" si="0"/>
        <v>0.98670947182667379</v>
      </c>
      <c r="G8" s="4"/>
      <c r="H8">
        <v>1.4018754625880101</v>
      </c>
      <c r="I8">
        <v>1.3952787310994501</v>
      </c>
      <c r="J8">
        <v>1.3887518550334099</v>
      </c>
      <c r="K8" s="10">
        <f t="shared" si="1"/>
        <v>0.99532217045916183</v>
      </c>
      <c r="L8" s="10"/>
    </row>
    <row r="9" spans="1:12" s="4" customFormat="1" x14ac:dyDescent="0.3">
      <c r="A9">
        <v>15</v>
      </c>
      <c r="B9" s="5"/>
      <c r="C9">
        <v>1.39742877901721</v>
      </c>
      <c r="D9">
        <v>1.3588321367490299</v>
      </c>
      <c r="E9">
        <v>1.3960885502131399</v>
      </c>
      <c r="F9" s="10">
        <f t="shared" si="0"/>
        <v>1.0274179661023068</v>
      </c>
      <c r="H9">
        <v>1.4018991482118599</v>
      </c>
      <c r="I9">
        <v>1.36086238814935</v>
      </c>
      <c r="J9">
        <v>1.3943568221478799</v>
      </c>
      <c r="K9" s="10">
        <f t="shared" si="1"/>
        <v>1.0246126531897757</v>
      </c>
      <c r="L9" s="11"/>
    </row>
    <row r="10" spans="1:12" x14ac:dyDescent="0.3">
      <c r="A10">
        <v>30</v>
      </c>
      <c r="B10" s="5"/>
      <c r="C10">
        <v>1.3977734656963801</v>
      </c>
      <c r="D10">
        <v>1.38084479180245</v>
      </c>
      <c r="E10">
        <v>1.3802674426896999</v>
      </c>
      <c r="F10" s="10">
        <f t="shared" si="0"/>
        <v>0.9995818870330847</v>
      </c>
      <c r="G10" s="4"/>
      <c r="H10">
        <v>1.3914317207496001</v>
      </c>
      <c r="I10">
        <v>1.3852911212816701</v>
      </c>
      <c r="J10">
        <v>1.3731450592762</v>
      </c>
      <c r="K10" s="10">
        <f t="shared" si="1"/>
        <v>0.99123212311197628</v>
      </c>
      <c r="L10" s="10"/>
    </row>
    <row r="11" spans="1:12" s="4" customFormat="1" x14ac:dyDescent="0.3">
      <c r="A11">
        <v>60</v>
      </c>
      <c r="B11" s="5"/>
      <c r="C11">
        <v>1.39314164652525</v>
      </c>
      <c r="D11">
        <v>1.35391575819657</v>
      </c>
      <c r="E11">
        <v>1.35872734366118</v>
      </c>
      <c r="F11" s="10">
        <f t="shared" si="0"/>
        <v>1.0035538292803527</v>
      </c>
      <c r="H11">
        <v>1.3881975250755401</v>
      </c>
      <c r="I11">
        <v>1.3558315843768101</v>
      </c>
      <c r="J11">
        <v>1.35851656917782</v>
      </c>
      <c r="K11" s="10">
        <f t="shared" si="1"/>
        <v>1.0019803232436455</v>
      </c>
      <c r="L11" s="11"/>
    </row>
    <row r="12" spans="1:12" x14ac:dyDescent="0.3">
      <c r="A12">
        <v>90</v>
      </c>
      <c r="B12" s="5"/>
      <c r="C12">
        <v>1.3818447189929399</v>
      </c>
      <c r="D12">
        <v>1.3540665504448699</v>
      </c>
      <c r="E12">
        <v>1.3846270062289301</v>
      </c>
      <c r="F12" s="10">
        <f t="shared" si="0"/>
        <v>1.0225693897940391</v>
      </c>
      <c r="G12" s="4"/>
      <c r="H12">
        <v>1.3733638983322201</v>
      </c>
      <c r="I12">
        <v>1.34423803647162</v>
      </c>
      <c r="J12">
        <v>1.37594039827729</v>
      </c>
      <c r="K12" s="10">
        <f t="shared" si="1"/>
        <v>1.0235838898658773</v>
      </c>
      <c r="L12" s="10"/>
    </row>
    <row r="13" spans="1:12" x14ac:dyDescent="0.3">
      <c r="A13">
        <v>100</v>
      </c>
      <c r="B13" s="5"/>
      <c r="C13">
        <v>1.37950613179578</v>
      </c>
      <c r="D13">
        <v>1.3565730983264299</v>
      </c>
      <c r="E13">
        <v>1.37473157938041</v>
      </c>
      <c r="F13" s="10">
        <f t="shared" si="0"/>
        <v>1.0133855529616367</v>
      </c>
      <c r="G13" s="4"/>
      <c r="H13">
        <v>1.3697423426526301</v>
      </c>
      <c r="I13">
        <v>1.3294388930292</v>
      </c>
      <c r="J13">
        <v>1.3730626322350199</v>
      </c>
      <c r="K13" s="10">
        <f t="shared" si="1"/>
        <v>1.0328136474978709</v>
      </c>
      <c r="L13" s="10"/>
    </row>
    <row r="14" spans="1:12" s="4" customFormat="1" x14ac:dyDescent="0.3">
      <c r="A14">
        <v>120</v>
      </c>
      <c r="B14" s="5"/>
      <c r="C14">
        <v>1.37505741757767</v>
      </c>
      <c r="D14">
        <v>1.34077916991197</v>
      </c>
      <c r="E14">
        <v>1.3634284951011899</v>
      </c>
      <c r="F14" s="10">
        <f t="shared" si="0"/>
        <v>1.0168926589087053</v>
      </c>
      <c r="H14">
        <v>1.36267435359262</v>
      </c>
      <c r="I14">
        <v>1.35581073898229</v>
      </c>
      <c r="J14">
        <v>1.34549110875214</v>
      </c>
      <c r="K14" s="10">
        <f t="shared" si="1"/>
        <v>0.99238859087523068</v>
      </c>
      <c r="L14" s="11"/>
    </row>
    <row r="15" spans="1:12" x14ac:dyDescent="0.3">
      <c r="A15">
        <v>150</v>
      </c>
      <c r="B15" s="5"/>
      <c r="C15">
        <v>1.3614670031018901</v>
      </c>
      <c r="D15">
        <v>1.3628583617894401</v>
      </c>
      <c r="E15">
        <v>1.3660435580514501</v>
      </c>
      <c r="F15" s="10">
        <f t="shared" si="0"/>
        <v>1.0023371440138709</v>
      </c>
      <c r="G15" s="4"/>
      <c r="H15">
        <v>1.3561935884492</v>
      </c>
      <c r="I15">
        <v>1.34642475596859</v>
      </c>
      <c r="J15">
        <v>1.3556369406847</v>
      </c>
      <c r="K15" s="10">
        <f t="shared" si="1"/>
        <v>1.0068419602917082</v>
      </c>
      <c r="L15" s="10"/>
    </row>
    <row r="16" spans="1:12" s="4" customFormat="1" x14ac:dyDescent="0.3">
      <c r="A16">
        <v>250</v>
      </c>
      <c r="B16" s="5"/>
      <c r="C16">
        <v>1.3422623387583901</v>
      </c>
      <c r="D16">
        <v>1.31238054231434</v>
      </c>
      <c r="E16">
        <v>1.30114468854049</v>
      </c>
      <c r="F16" s="10">
        <f t="shared" si="0"/>
        <v>0.99143857028386306</v>
      </c>
      <c r="H16">
        <v>1.3247863550055301</v>
      </c>
      <c r="I16">
        <v>1.2854468687873799</v>
      </c>
      <c r="J16">
        <v>1.2908172794684301</v>
      </c>
      <c r="K16" s="10">
        <f t="shared" si="1"/>
        <v>1.0041778550412717</v>
      </c>
      <c r="L16" s="11"/>
    </row>
    <row r="17" spans="1:12" x14ac:dyDescent="0.3">
      <c r="A17">
        <v>500</v>
      </c>
      <c r="B17" s="5"/>
      <c r="C17">
        <v>1.3014014859735601</v>
      </c>
      <c r="D17">
        <v>1.27106900787611</v>
      </c>
      <c r="E17">
        <v>1.2663520004962301</v>
      </c>
      <c r="F17" s="10">
        <f t="shared" si="0"/>
        <v>0.99628894469879192</v>
      </c>
      <c r="G17" s="4"/>
      <c r="H17">
        <v>1.26268865444005</v>
      </c>
      <c r="I17">
        <v>1.24215702849295</v>
      </c>
      <c r="J17">
        <v>1.26045747443881</v>
      </c>
      <c r="K17" s="10">
        <f t="shared" si="1"/>
        <v>1.0147327958753034</v>
      </c>
      <c r="L17" s="10"/>
    </row>
    <row r="18" spans="1:12" s="4" customFormat="1" x14ac:dyDescent="0.3">
      <c r="A18">
        <v>750</v>
      </c>
      <c r="B18" s="5"/>
      <c r="C18">
        <v>1.2615551433943699</v>
      </c>
      <c r="D18">
        <v>1.2502327359779</v>
      </c>
      <c r="E18">
        <v>1.26687035022674</v>
      </c>
      <c r="F18" s="10">
        <f t="shared" si="0"/>
        <v>1.0133076136706871</v>
      </c>
      <c r="H18">
        <v>1.2096572387659299</v>
      </c>
      <c r="I18">
        <v>1.20261020085431</v>
      </c>
      <c r="J18">
        <v>1.2257592093430201</v>
      </c>
      <c r="K18" s="10">
        <f t="shared" si="1"/>
        <v>1.0192489706741765</v>
      </c>
      <c r="L18" s="11"/>
    </row>
    <row r="19" spans="1:12" x14ac:dyDescent="0.3">
      <c r="A19">
        <v>999.99</v>
      </c>
      <c r="B19" s="5"/>
      <c r="C19">
        <v>1.2295679722156101</v>
      </c>
      <c r="D19">
        <v>1.2216766905077201</v>
      </c>
      <c r="E19">
        <v>1.20816790789953</v>
      </c>
      <c r="F19" s="10">
        <f t="shared" si="0"/>
        <v>0.98894242420015732</v>
      </c>
      <c r="G19" s="4"/>
      <c r="H19">
        <v>1.15612158785918</v>
      </c>
      <c r="I19">
        <v>1.1553240194424299</v>
      </c>
      <c r="J19">
        <v>1.13503567173569</v>
      </c>
      <c r="K19" s="10">
        <f t="shared" si="1"/>
        <v>0.9824392574158276</v>
      </c>
      <c r="L19" s="10"/>
    </row>
    <row r="23" spans="1:12" x14ac:dyDescent="0.3">
      <c r="C23" s="12" t="s">
        <v>5</v>
      </c>
      <c r="D23" s="12"/>
      <c r="E23" s="13"/>
      <c r="F23" s="13"/>
      <c r="H23" s="2"/>
      <c r="I23" s="2"/>
      <c r="J23" s="2"/>
      <c r="K23" s="2"/>
    </row>
    <row r="24" spans="1:12" x14ac:dyDescent="0.3">
      <c r="C24" s="3" t="s">
        <v>4</v>
      </c>
      <c r="D24" s="3"/>
      <c r="E24" s="9"/>
      <c r="F24" s="3"/>
      <c r="H24" s="3" t="s">
        <v>3</v>
      </c>
      <c r="I24" s="3"/>
      <c r="J24" s="9"/>
      <c r="K24" s="9"/>
      <c r="L24" s="3"/>
    </row>
    <row r="25" spans="1:12" x14ac:dyDescent="0.3">
      <c r="A25" s="6" t="s">
        <v>0</v>
      </c>
      <c r="B25" s="6"/>
      <c r="C25" s="6" t="s">
        <v>1</v>
      </c>
      <c r="D25" s="6" t="s">
        <v>7</v>
      </c>
      <c r="E25" s="6" t="s">
        <v>6</v>
      </c>
      <c r="F25" s="7" t="s">
        <v>8</v>
      </c>
      <c r="G25" s="8"/>
      <c r="H25" s="6" t="s">
        <v>1</v>
      </c>
      <c r="I25" s="6" t="s">
        <v>7</v>
      </c>
      <c r="J25" s="6" t="s">
        <v>6</v>
      </c>
      <c r="K25" s="7" t="s">
        <v>8</v>
      </c>
      <c r="L25" s="7"/>
    </row>
    <row r="26" spans="1:12" x14ac:dyDescent="0.3">
      <c r="A26">
        <v>0.1</v>
      </c>
      <c r="B26" s="5"/>
      <c r="C26" s="2">
        <v>3.53760968083747E-5</v>
      </c>
      <c r="D26" s="2">
        <v>3.4283030439073703E-5</v>
      </c>
      <c r="E26" s="2">
        <v>2.4940135833565399E-5</v>
      </c>
      <c r="F26" s="10">
        <f>E26/D26</f>
        <v>0.7274775745944605</v>
      </c>
      <c r="G26" s="4"/>
      <c r="H26" s="2">
        <v>3.2455422398815998E-5</v>
      </c>
      <c r="I26" s="2">
        <v>3.06037506527904E-5</v>
      </c>
      <c r="J26" s="2">
        <v>8.9560974139772096E-6</v>
      </c>
      <c r="K26" s="10">
        <f>J26/I26</f>
        <v>0.29264705217301878</v>
      </c>
      <c r="L26" s="10"/>
    </row>
    <row r="27" spans="1:12" x14ac:dyDescent="0.3">
      <c r="A27">
        <v>0.5</v>
      </c>
      <c r="B27" s="5"/>
      <c r="C27">
        <v>1.769377952569E-4</v>
      </c>
      <c r="D27">
        <v>1.7795710468822501E-4</v>
      </c>
      <c r="E27">
        <v>1.1451179445258501E-4</v>
      </c>
      <c r="F27" s="10">
        <f t="shared" ref="F27:F40" si="2">E27/D27</f>
        <v>0.64347975683918834</v>
      </c>
      <c r="G27" s="4"/>
      <c r="H27">
        <v>1.622082823178E-4</v>
      </c>
      <c r="I27">
        <v>1.51128498783429E-4</v>
      </c>
      <c r="J27">
        <v>2.0123326791721201E-4</v>
      </c>
      <c r="K27" s="10">
        <f t="shared" ref="K27:K40" si="3">J27/I27</f>
        <v>1.3315375295667062</v>
      </c>
      <c r="L27" s="10"/>
    </row>
    <row r="28" spans="1:12" x14ac:dyDescent="0.3">
      <c r="A28">
        <v>1.5</v>
      </c>
      <c r="B28" s="5"/>
      <c r="C28">
        <v>5.2503514596129999E-4</v>
      </c>
      <c r="D28">
        <v>5.6289187437775004E-4</v>
      </c>
      <c r="E28">
        <v>2.79102553247934E-4</v>
      </c>
      <c r="F28" s="10">
        <f t="shared" si="2"/>
        <v>0.49583688440425344</v>
      </c>
      <c r="G28" s="4"/>
      <c r="H28">
        <v>4.8498345014689998E-4</v>
      </c>
      <c r="I28">
        <v>4.4989314990682798E-4</v>
      </c>
      <c r="J28">
        <v>4.03614344914232E-4</v>
      </c>
      <c r="K28" s="10">
        <f t="shared" si="3"/>
        <v>0.8971337860952534</v>
      </c>
      <c r="L28" s="10"/>
    </row>
    <row r="29" spans="1:12" x14ac:dyDescent="0.3">
      <c r="A29">
        <v>10</v>
      </c>
      <c r="B29" s="5"/>
      <c r="C29">
        <v>3.3839428456904001E-3</v>
      </c>
      <c r="D29">
        <v>3.3365070331695802E-3</v>
      </c>
      <c r="E29">
        <v>2.2307755074323201E-3</v>
      </c>
      <c r="F29" s="10">
        <f t="shared" si="2"/>
        <v>0.66859607525333198</v>
      </c>
      <c r="G29" s="4"/>
      <c r="H29">
        <v>3.1626406186310001E-3</v>
      </c>
      <c r="I29">
        <v>3.0155921421882699E-3</v>
      </c>
      <c r="J29">
        <v>2.6153364392675002E-3</v>
      </c>
      <c r="K29" s="10">
        <f t="shared" si="3"/>
        <v>0.86727127408207016</v>
      </c>
      <c r="L29" s="10"/>
    </row>
    <row r="30" spans="1:12" x14ac:dyDescent="0.3">
      <c r="A30" s="4">
        <v>15</v>
      </c>
      <c r="B30" s="5"/>
      <c r="C30">
        <v>4.9687340175238997E-3</v>
      </c>
      <c r="D30">
        <v>4.9536689812130401E-3</v>
      </c>
      <c r="E30">
        <v>3.6306214215505398E-3</v>
      </c>
      <c r="F30" s="10">
        <f t="shared" si="2"/>
        <v>0.73291562987349301</v>
      </c>
      <c r="G30" s="4"/>
      <c r="H30">
        <v>4.7034313826145001E-3</v>
      </c>
      <c r="I30">
        <v>4.2298917106053102E-3</v>
      </c>
      <c r="J30">
        <v>4.0615398119136998E-3</v>
      </c>
      <c r="K30" s="10">
        <f t="shared" si="3"/>
        <v>0.96019947785672299</v>
      </c>
      <c r="L30" s="11"/>
    </row>
    <row r="31" spans="1:12" x14ac:dyDescent="0.3">
      <c r="A31">
        <v>30</v>
      </c>
      <c r="B31" s="5"/>
      <c r="C31">
        <v>9.6668811570342003E-3</v>
      </c>
      <c r="D31">
        <v>9.8049806314099101E-3</v>
      </c>
      <c r="E31">
        <v>7.3289045458139902E-3</v>
      </c>
      <c r="F31" s="10">
        <f t="shared" si="2"/>
        <v>0.74746751893992558</v>
      </c>
      <c r="G31" s="4"/>
      <c r="H31">
        <v>9.2377761797262006E-3</v>
      </c>
      <c r="I31">
        <v>8.8658994417866593E-3</v>
      </c>
      <c r="J31">
        <v>7.2748435041183898E-3</v>
      </c>
      <c r="K31" s="10">
        <f t="shared" si="3"/>
        <v>0.82054207267800461</v>
      </c>
      <c r="L31" s="10"/>
    </row>
    <row r="32" spans="1:12" x14ac:dyDescent="0.3">
      <c r="A32" s="4">
        <v>60</v>
      </c>
      <c r="B32" s="5"/>
      <c r="C32">
        <v>1.7647794082264599E-2</v>
      </c>
      <c r="D32">
        <v>1.6929482364304901E-2</v>
      </c>
      <c r="E32">
        <v>1.3311257592672E-2</v>
      </c>
      <c r="F32" s="10">
        <f t="shared" si="2"/>
        <v>0.78627670393149318</v>
      </c>
      <c r="G32" s="4"/>
      <c r="H32">
        <v>1.79734898063151E-2</v>
      </c>
      <c r="I32">
        <v>1.57606335049696E-2</v>
      </c>
      <c r="J32">
        <v>1.41246952576636E-2</v>
      </c>
      <c r="K32" s="10">
        <f t="shared" si="3"/>
        <v>0.89620098412984728</v>
      </c>
      <c r="L32" s="11"/>
    </row>
    <row r="33" spans="1:12" x14ac:dyDescent="0.3">
      <c r="A33">
        <v>90</v>
      </c>
      <c r="B33" s="5"/>
      <c r="C33">
        <v>2.5054917938694E-2</v>
      </c>
      <c r="D33">
        <v>2.3458449507632401E-2</v>
      </c>
      <c r="E33">
        <v>2.05541471998755E-2</v>
      </c>
      <c r="F33" s="10">
        <f t="shared" si="2"/>
        <v>0.87619376520123537</v>
      </c>
      <c r="G33" s="4"/>
      <c r="H33">
        <v>2.6164917465571601E-2</v>
      </c>
      <c r="I33">
        <v>2.3818302176688601E-2</v>
      </c>
      <c r="J33">
        <v>2.3768164319370701E-2</v>
      </c>
      <c r="K33" s="10">
        <f t="shared" si="3"/>
        <v>0.99789498609321658</v>
      </c>
      <c r="L33" s="10"/>
    </row>
    <row r="34" spans="1:12" x14ac:dyDescent="0.3">
      <c r="A34" s="4">
        <v>100</v>
      </c>
      <c r="B34" s="5"/>
      <c r="C34">
        <v>2.73242514617307E-2</v>
      </c>
      <c r="D34">
        <v>2.5947125661509699E-2</v>
      </c>
      <c r="E34">
        <v>2.2524567468256498E-2</v>
      </c>
      <c r="F34" s="10">
        <f t="shared" si="2"/>
        <v>0.86809490045634352</v>
      </c>
      <c r="G34" s="4"/>
      <c r="H34">
        <v>2.8758676699886999E-2</v>
      </c>
      <c r="I34">
        <v>2.6060698692637999E-2</v>
      </c>
      <c r="J34">
        <v>2.41183055307931E-2</v>
      </c>
      <c r="K34" s="10">
        <f t="shared" si="3"/>
        <v>0.92546657383389286</v>
      </c>
      <c r="L34" s="10"/>
    </row>
    <row r="35" spans="1:12" x14ac:dyDescent="0.3">
      <c r="A35" s="4">
        <v>120</v>
      </c>
      <c r="B35" s="5"/>
      <c r="C35">
        <v>3.1756367537968302E-2</v>
      </c>
      <c r="D35">
        <v>3.2193504593870201E-2</v>
      </c>
      <c r="E35">
        <v>2.5515114756006999E-2</v>
      </c>
      <c r="F35" s="10">
        <f t="shared" si="2"/>
        <v>0.79255474288640204</v>
      </c>
      <c r="G35" s="4"/>
      <c r="H35">
        <v>3.3831181126573399E-2</v>
      </c>
      <c r="I35">
        <v>3.0884672634417399E-2</v>
      </c>
      <c r="J35">
        <v>2.9445668702238598E-2</v>
      </c>
      <c r="K35" s="10">
        <f t="shared" si="3"/>
        <v>0.95340718196328889</v>
      </c>
      <c r="L35" s="11"/>
    </row>
    <row r="36" spans="1:12" x14ac:dyDescent="0.3">
      <c r="A36">
        <v>150</v>
      </c>
      <c r="B36" s="5"/>
      <c r="C36">
        <v>3.79760832406765E-2</v>
      </c>
      <c r="D36">
        <v>3.6337278414827603E-2</v>
      </c>
      <c r="E36">
        <v>3.2903913104897098E-2</v>
      </c>
      <c r="F36" s="10">
        <f t="shared" si="2"/>
        <v>0.90551396638088599</v>
      </c>
      <c r="G36" s="4"/>
      <c r="H36">
        <v>4.0827391559504302E-2</v>
      </c>
      <c r="I36">
        <v>3.8123585674305099E-2</v>
      </c>
      <c r="J36">
        <v>3.6179164073167201E-2</v>
      </c>
      <c r="K36" s="10">
        <f t="shared" si="3"/>
        <v>0.94899688560909901</v>
      </c>
      <c r="L36" s="10"/>
    </row>
    <row r="37" spans="1:12" x14ac:dyDescent="0.3">
      <c r="A37" s="4">
        <v>250</v>
      </c>
      <c r="B37" s="5"/>
      <c r="C37">
        <v>5.6477544791410803E-2</v>
      </c>
      <c r="D37">
        <v>5.5465836690505303E-2</v>
      </c>
      <c r="E37">
        <v>5.1493175994203999E-2</v>
      </c>
      <c r="F37" s="10">
        <f t="shared" si="2"/>
        <v>0.92837643974491146</v>
      </c>
      <c r="G37" s="4"/>
      <c r="H37">
        <v>6.2587066941841005E-2</v>
      </c>
      <c r="I37">
        <v>5.8814448863946898E-2</v>
      </c>
      <c r="J37">
        <v>5.6605063359839898E-2</v>
      </c>
      <c r="K37" s="10">
        <f t="shared" si="3"/>
        <v>0.9624346474925255</v>
      </c>
      <c r="L37" s="11"/>
    </row>
    <row r="38" spans="1:12" x14ac:dyDescent="0.3">
      <c r="A38">
        <v>500</v>
      </c>
      <c r="B38" s="5"/>
      <c r="C38">
        <v>9.6749839749360703E-2</v>
      </c>
      <c r="D38">
        <v>9.2698744321603202E-2</v>
      </c>
      <c r="E38">
        <v>8.6940034618715994E-2</v>
      </c>
      <c r="F38" s="10">
        <f t="shared" si="2"/>
        <v>0.93787715524054671</v>
      </c>
      <c r="G38" s="4"/>
      <c r="H38">
        <v>0.10941310652236901</v>
      </c>
      <c r="I38">
        <v>0.101328636998795</v>
      </c>
      <c r="J38">
        <v>0.103511880070482</v>
      </c>
      <c r="K38" s="10">
        <f t="shared" si="3"/>
        <v>1.0215461604572156</v>
      </c>
      <c r="L38" s="10"/>
    </row>
    <row r="39" spans="1:12" x14ac:dyDescent="0.3">
      <c r="A39" s="4">
        <v>750</v>
      </c>
      <c r="B39" s="5"/>
      <c r="C39">
        <v>0.12913289428404701</v>
      </c>
      <c r="D39">
        <v>0.12658460512460301</v>
      </c>
      <c r="E39">
        <v>0.128790466427847</v>
      </c>
      <c r="F39" s="10">
        <f t="shared" si="2"/>
        <v>1.0174259839976012</v>
      </c>
      <c r="G39" s="4"/>
      <c r="H39">
        <v>0.14632252761592299</v>
      </c>
      <c r="I39">
        <v>0.13858937862319001</v>
      </c>
      <c r="J39">
        <v>0.149026761504226</v>
      </c>
      <c r="K39" s="10">
        <f t="shared" si="3"/>
        <v>1.0753115641669349</v>
      </c>
      <c r="L39" s="11"/>
    </row>
    <row r="40" spans="1:12" x14ac:dyDescent="0.3">
      <c r="A40">
        <v>1000</v>
      </c>
      <c r="B40" s="5"/>
      <c r="C40">
        <v>0.157828985100924</v>
      </c>
      <c r="D40">
        <v>0.15157133316674601</v>
      </c>
      <c r="E40">
        <v>0.15530428148366199</v>
      </c>
      <c r="F40" s="10">
        <f t="shared" si="2"/>
        <v>1.0246283267351703</v>
      </c>
      <c r="G40" s="4"/>
      <c r="H40">
        <v>0.178362496787381</v>
      </c>
      <c r="I40">
        <v>0.17072801306535401</v>
      </c>
      <c r="J40">
        <v>0.17116297500401301</v>
      </c>
      <c r="K40" s="10">
        <f t="shared" si="3"/>
        <v>1.0025476893384362</v>
      </c>
      <c r="L40" s="10"/>
    </row>
    <row r="44" spans="1:12" x14ac:dyDescent="0.3">
      <c r="C44" s="1" t="s">
        <v>9</v>
      </c>
    </row>
    <row r="45" spans="1:12" x14ac:dyDescent="0.3">
      <c r="C45" s="14" t="s">
        <v>2</v>
      </c>
      <c r="D45" s="14"/>
      <c r="E45" s="15"/>
      <c r="H45" s="2"/>
      <c r="I45" s="2"/>
      <c r="J45" s="2"/>
      <c r="K45" s="2"/>
    </row>
    <row r="46" spans="1:12" x14ac:dyDescent="0.3">
      <c r="C46" s="3" t="s">
        <v>4</v>
      </c>
      <c r="D46" s="3"/>
      <c r="E46" s="9"/>
      <c r="F46" s="3"/>
      <c r="H46" s="3" t="s">
        <v>3</v>
      </c>
      <c r="I46" s="3"/>
      <c r="J46" s="9"/>
      <c r="K46" s="9"/>
    </row>
    <row r="47" spans="1:12" x14ac:dyDescent="0.3">
      <c r="A47" s="6" t="s">
        <v>0</v>
      </c>
      <c r="B47" s="6"/>
      <c r="C47" s="6" t="s">
        <v>1</v>
      </c>
      <c r="D47" s="6" t="s">
        <v>7</v>
      </c>
      <c r="E47" s="6" t="s">
        <v>6</v>
      </c>
      <c r="F47" s="7" t="s">
        <v>8</v>
      </c>
      <c r="G47" s="8"/>
      <c r="H47" s="6" t="s">
        <v>1</v>
      </c>
      <c r="I47" s="6" t="s">
        <v>7</v>
      </c>
      <c r="J47" s="6" t="s">
        <v>6</v>
      </c>
      <c r="K47" s="7" t="s">
        <v>8</v>
      </c>
    </row>
    <row r="48" spans="1:12" x14ac:dyDescent="0.3">
      <c r="A48">
        <v>0.1</v>
      </c>
      <c r="B48" s="5"/>
      <c r="C48">
        <v>1.38755773111088</v>
      </c>
      <c r="D48">
        <v>1.33146077610654</v>
      </c>
      <c r="E48">
        <v>1.3294682945082299</v>
      </c>
      <c r="F48" s="10">
        <f>E48/D48</f>
        <v>0.9985035371420129</v>
      </c>
      <c r="G48" s="4"/>
      <c r="I48">
        <v>1.33422182541257</v>
      </c>
      <c r="J48">
        <v>1.3288821396550801</v>
      </c>
      <c r="K48" s="10">
        <f>J48/I48</f>
        <v>0.99599790255579224</v>
      </c>
    </row>
    <row r="49" spans="1:11" x14ac:dyDescent="0.3">
      <c r="A49">
        <v>0.5</v>
      </c>
      <c r="B49" s="5"/>
      <c r="C49">
        <v>1.38409520401011</v>
      </c>
      <c r="D49">
        <v>1.35765661048369</v>
      </c>
      <c r="E49">
        <v>1.3402135659025001</v>
      </c>
      <c r="F49" s="10">
        <f t="shared" ref="F49:F60" si="4">E49/D49</f>
        <v>0.98715209394887005</v>
      </c>
      <c r="G49" s="4"/>
      <c r="H49" s="4"/>
      <c r="I49">
        <v>1.3552315082948401</v>
      </c>
      <c r="J49">
        <v>1.34024384554322</v>
      </c>
      <c r="K49" s="11">
        <f t="shared" ref="K49:K58" si="5">J49/I49</f>
        <v>0.98894088378266998</v>
      </c>
    </row>
    <row r="50" spans="1:11" x14ac:dyDescent="0.3">
      <c r="A50">
        <v>1</v>
      </c>
      <c r="B50" s="5"/>
      <c r="C50">
        <v>1.3811622398640599</v>
      </c>
      <c r="D50">
        <v>1.33903476392587</v>
      </c>
      <c r="E50">
        <v>1.3294539841566</v>
      </c>
      <c r="F50" s="10">
        <f t="shared" si="4"/>
        <v>0.99284501043036377</v>
      </c>
      <c r="G50" s="4"/>
      <c r="I50">
        <v>1.3461367977004299</v>
      </c>
      <c r="J50">
        <v>1.32904261090945</v>
      </c>
      <c r="K50" s="10">
        <f t="shared" si="5"/>
        <v>0.98730130041747499</v>
      </c>
    </row>
    <row r="51" spans="1:11" x14ac:dyDescent="0.3">
      <c r="A51">
        <v>10</v>
      </c>
      <c r="B51" s="5"/>
      <c r="C51">
        <v>1.37486493369789</v>
      </c>
      <c r="D51">
        <v>1.31789010731641</v>
      </c>
      <c r="E51">
        <v>1.3448930260504799</v>
      </c>
      <c r="F51" s="10">
        <f t="shared" si="4"/>
        <v>1.0204895071175968</v>
      </c>
      <c r="G51" s="4"/>
      <c r="H51" s="4"/>
      <c r="I51">
        <v>1.31846450590491</v>
      </c>
      <c r="J51">
        <v>1.3511493506913199</v>
      </c>
      <c r="K51" s="11">
        <f t="shared" si="5"/>
        <v>1.0247900831914902</v>
      </c>
    </row>
    <row r="52" spans="1:11" x14ac:dyDescent="0.3">
      <c r="A52">
        <v>25</v>
      </c>
      <c r="B52" s="5"/>
      <c r="C52">
        <v>1.36350384779266</v>
      </c>
      <c r="D52">
        <v>1.32036564820574</v>
      </c>
      <c r="E52">
        <v>1.3268512139816999</v>
      </c>
      <c r="F52" s="10">
        <f t="shared" si="4"/>
        <v>1.0049119467662411</v>
      </c>
      <c r="G52" s="4"/>
      <c r="I52">
        <v>1.33152629750905</v>
      </c>
      <c r="J52">
        <v>1.33015612015508</v>
      </c>
      <c r="K52" s="10">
        <f t="shared" si="5"/>
        <v>0.99897097236717491</v>
      </c>
    </row>
    <row r="53" spans="1:11" x14ac:dyDescent="0.3">
      <c r="A53">
        <v>50</v>
      </c>
      <c r="B53" s="5"/>
      <c r="C53">
        <v>1.3571706170428599</v>
      </c>
      <c r="D53">
        <v>1.3197738196808499</v>
      </c>
      <c r="E53">
        <v>1.3126564921716899</v>
      </c>
      <c r="F53" s="10">
        <f t="shared" si="4"/>
        <v>0.99460716116426584</v>
      </c>
      <c r="G53" s="4"/>
      <c r="H53" s="4"/>
      <c r="I53">
        <v>1.32005527665466</v>
      </c>
      <c r="J53">
        <v>1.30244954906179</v>
      </c>
      <c r="K53" s="11">
        <f t="shared" si="5"/>
        <v>0.98666288608952257</v>
      </c>
    </row>
    <row r="54" spans="1:11" x14ac:dyDescent="0.3">
      <c r="A54">
        <v>75</v>
      </c>
      <c r="B54" s="5"/>
      <c r="C54">
        <v>1.35109721915133</v>
      </c>
      <c r="D54">
        <v>1.29935652652886</v>
      </c>
      <c r="E54">
        <v>1.32473430230751</v>
      </c>
      <c r="F54" s="10">
        <f t="shared" si="4"/>
        <v>1.0195310334465668</v>
      </c>
      <c r="G54" s="4"/>
      <c r="I54">
        <v>1.30908256842566</v>
      </c>
      <c r="J54">
        <v>1.30672475018709</v>
      </c>
      <c r="K54" s="10">
        <f t="shared" si="5"/>
        <v>0.99819887736996948</v>
      </c>
    </row>
    <row r="55" spans="1:11" x14ac:dyDescent="0.3">
      <c r="A55">
        <v>100</v>
      </c>
      <c r="B55" s="5"/>
      <c r="C55">
        <v>1.32844051248484</v>
      </c>
      <c r="D55">
        <v>1.33910590256307</v>
      </c>
      <c r="E55">
        <v>1.3167897334910501</v>
      </c>
      <c r="F55" s="10">
        <f t="shared" si="4"/>
        <v>0.98333502299608533</v>
      </c>
      <c r="G55" s="4"/>
      <c r="H55" s="4"/>
      <c r="I55">
        <v>1.3171859836539099</v>
      </c>
      <c r="J55">
        <v>1.31060168409573</v>
      </c>
      <c r="K55" s="11">
        <f t="shared" si="5"/>
        <v>0.99500123775997451</v>
      </c>
    </row>
    <row r="56" spans="1:11" x14ac:dyDescent="0.3">
      <c r="A56">
        <v>150</v>
      </c>
      <c r="B56" s="5"/>
      <c r="C56">
        <v>1.26939305918802</v>
      </c>
      <c r="D56">
        <v>1.3346899335651701</v>
      </c>
      <c r="E56">
        <v>1.3164282135057199</v>
      </c>
      <c r="F56" s="10">
        <f t="shared" si="4"/>
        <v>0.98631763108404502</v>
      </c>
      <c r="G56" s="4"/>
      <c r="I56">
        <v>1.28924587434467</v>
      </c>
      <c r="J56">
        <v>1.3011790803332</v>
      </c>
      <c r="K56" s="10">
        <f t="shared" si="5"/>
        <v>1.0092559582512495</v>
      </c>
    </row>
    <row r="57" spans="1:11" x14ac:dyDescent="0.3">
      <c r="A57">
        <v>250</v>
      </c>
      <c r="B57" s="5"/>
      <c r="C57">
        <v>1.2146497361047901</v>
      </c>
      <c r="D57">
        <v>1.29678717701069</v>
      </c>
      <c r="E57">
        <v>1.33451901185347</v>
      </c>
      <c r="F57" s="10">
        <f t="shared" si="4"/>
        <v>1.0290963972436542</v>
      </c>
      <c r="G57" s="4"/>
      <c r="H57" s="4"/>
      <c r="I57">
        <v>1.2845821783281699</v>
      </c>
      <c r="J57">
        <v>1.27732476166037</v>
      </c>
      <c r="K57" s="11">
        <f t="shared" si="5"/>
        <v>0.99435036793267273</v>
      </c>
    </row>
    <row r="58" spans="1:11" x14ac:dyDescent="0.3">
      <c r="A58">
        <v>500</v>
      </c>
      <c r="B58" s="5"/>
      <c r="C58">
        <v>1.1436421352186501</v>
      </c>
      <c r="D58">
        <v>1.2662694099393199</v>
      </c>
      <c r="E58">
        <v>1.2620512370753201</v>
      </c>
      <c r="F58" s="10">
        <f t="shared" si="4"/>
        <v>0.99666881879093805</v>
      </c>
      <c r="G58" s="4"/>
      <c r="I58">
        <v>1.2051198250164299</v>
      </c>
      <c r="J58">
        <v>1.19710463230099</v>
      </c>
      <c r="K58" s="10">
        <f t="shared" si="5"/>
        <v>0.99334904915755518</v>
      </c>
    </row>
    <row r="59" spans="1:11" x14ac:dyDescent="0.3">
      <c r="A59">
        <v>750</v>
      </c>
      <c r="D59">
        <v>1.23279071771682</v>
      </c>
      <c r="E59">
        <v>1.23649350366719</v>
      </c>
      <c r="F59" s="10">
        <f t="shared" si="4"/>
        <v>1.0030035803296993</v>
      </c>
      <c r="I59">
        <v>1.1807532343395699</v>
      </c>
      <c r="J59">
        <v>1.1563239206929501</v>
      </c>
    </row>
    <row r="60" spans="1:11" x14ac:dyDescent="0.3">
      <c r="A60">
        <v>999.99</v>
      </c>
      <c r="D60">
        <v>1.1928852496040101</v>
      </c>
      <c r="E60">
        <v>1.2106403902979499</v>
      </c>
      <c r="F60" s="10">
        <f t="shared" si="4"/>
        <v>1.0148841983751864</v>
      </c>
      <c r="I60">
        <v>1.13357719050286</v>
      </c>
      <c r="J60">
        <v>1.1342010761596699</v>
      </c>
    </row>
    <row r="63" spans="1:11" x14ac:dyDescent="0.3">
      <c r="C63" s="12" t="s">
        <v>5</v>
      </c>
      <c r="D63" s="12"/>
      <c r="E63" s="13"/>
      <c r="F63" s="13"/>
      <c r="H63" s="2"/>
      <c r="I63" s="2"/>
      <c r="J63" s="2"/>
      <c r="K63" s="2"/>
    </row>
    <row r="64" spans="1:11" x14ac:dyDescent="0.3">
      <c r="C64" s="3" t="s">
        <v>4</v>
      </c>
      <c r="D64" s="3"/>
      <c r="E64" s="9"/>
      <c r="F64" s="3"/>
      <c r="H64" s="3" t="s">
        <v>3</v>
      </c>
      <c r="I64" s="3"/>
      <c r="J64" s="9"/>
      <c r="K64" s="9"/>
    </row>
    <row r="65" spans="1:11" x14ac:dyDescent="0.3">
      <c r="A65" s="6" t="s">
        <v>0</v>
      </c>
      <c r="B65" s="6"/>
      <c r="C65" s="6" t="s">
        <v>1</v>
      </c>
      <c r="D65" s="6" t="s">
        <v>7</v>
      </c>
      <c r="E65" s="6" t="s">
        <v>6</v>
      </c>
      <c r="F65" s="7" t="s">
        <v>8</v>
      </c>
      <c r="G65" s="8"/>
      <c r="H65" s="6" t="s">
        <v>1</v>
      </c>
      <c r="I65" s="6" t="s">
        <v>7</v>
      </c>
      <c r="J65" s="6" t="s">
        <v>6</v>
      </c>
      <c r="K65" s="7" t="s">
        <v>8</v>
      </c>
    </row>
    <row r="66" spans="1:11" x14ac:dyDescent="0.3">
      <c r="A66">
        <v>0.1</v>
      </c>
      <c r="B66" s="5"/>
      <c r="C66" s="2">
        <v>2.0906018648200899E-5</v>
      </c>
      <c r="D66" s="2">
        <v>1.9785240862768899E-5</v>
      </c>
      <c r="E66" s="2">
        <v>1.9417624590728801E-5</v>
      </c>
      <c r="F66" s="10">
        <f>E66/D66</f>
        <v>0.98141967163352228</v>
      </c>
      <c r="G66" s="4"/>
      <c r="H66" s="2"/>
      <c r="I66" s="2">
        <v>2.44555572729164E-5</v>
      </c>
      <c r="J66" s="2">
        <v>2.3173152783100001E-5</v>
      </c>
      <c r="K66" s="10">
        <f>J66/I66</f>
        <v>0.94756183735642718</v>
      </c>
    </row>
    <row r="67" spans="1:11" x14ac:dyDescent="0.3">
      <c r="A67">
        <v>0.5</v>
      </c>
      <c r="B67" s="5"/>
      <c r="C67" s="2">
        <v>3.1327203465188001E-3</v>
      </c>
      <c r="D67">
        <v>1.02051178015395E-4</v>
      </c>
      <c r="E67" s="2">
        <v>9.4705678455829002E-5</v>
      </c>
      <c r="F67" s="10">
        <f t="shared" ref="F67:F78" si="6">E67/D67</f>
        <v>0.92802141334950694</v>
      </c>
      <c r="G67" s="4"/>
      <c r="I67">
        <v>1.237590596311E-4</v>
      </c>
      <c r="J67">
        <v>1.2781285534871299E-4</v>
      </c>
      <c r="K67" s="11">
        <f t="shared" ref="K67:K78" si="7">J67/I67</f>
        <v>1.0327555471873857</v>
      </c>
    </row>
    <row r="68" spans="1:11" x14ac:dyDescent="0.3">
      <c r="A68">
        <v>1</v>
      </c>
      <c r="B68" s="5"/>
      <c r="C68" s="2">
        <v>6.2691724987101998E-3</v>
      </c>
      <c r="D68">
        <v>2.0004896550590901E-4</v>
      </c>
      <c r="E68">
        <v>2.0519183351723301E-4</v>
      </c>
      <c r="F68" s="10">
        <f t="shared" si="6"/>
        <v>1.0257080460192236</v>
      </c>
      <c r="G68" s="4"/>
      <c r="I68">
        <v>2.47009346021372E-4</v>
      </c>
      <c r="J68">
        <v>2.5056736662623701E-4</v>
      </c>
      <c r="K68" s="10">
        <f t="shared" si="7"/>
        <v>1.0144043966844767</v>
      </c>
    </row>
    <row r="69" spans="1:11" x14ac:dyDescent="0.3">
      <c r="A69">
        <v>10</v>
      </c>
      <c r="B69" s="5"/>
      <c r="C69" s="2">
        <v>1.2558983712415E-2</v>
      </c>
      <c r="D69">
        <v>1.9727739159685499E-3</v>
      </c>
      <c r="E69">
        <v>2.1002402963605799E-3</v>
      </c>
      <c r="F69" s="10">
        <f t="shared" si="6"/>
        <v>1.0646127665011473</v>
      </c>
      <c r="G69" s="4"/>
      <c r="I69">
        <v>2.41443999850058E-3</v>
      </c>
      <c r="J69">
        <v>2.5624129143282902E-3</v>
      </c>
      <c r="K69" s="11">
        <f t="shared" si="7"/>
        <v>1.0612866403470804</v>
      </c>
    </row>
    <row r="70" spans="1:11" x14ac:dyDescent="0.3">
      <c r="A70">
        <v>25</v>
      </c>
      <c r="B70" s="5"/>
      <c r="C70" s="2">
        <v>1.8782496824776201E-2</v>
      </c>
      <c r="D70">
        <v>4.9269907229743297E-3</v>
      </c>
      <c r="E70">
        <v>5.2981099306138504E-3</v>
      </c>
      <c r="F70" s="10">
        <f t="shared" si="6"/>
        <v>1.0753237074121145</v>
      </c>
      <c r="G70" s="4"/>
      <c r="I70">
        <v>6.11270182240103E-3</v>
      </c>
      <c r="J70">
        <v>6.4145321839513504E-3</v>
      </c>
      <c r="K70" s="10">
        <f t="shared" si="7"/>
        <v>1.0493775699060295</v>
      </c>
    </row>
    <row r="71" spans="1:11" x14ac:dyDescent="0.3">
      <c r="A71">
        <v>50</v>
      </c>
      <c r="B71" s="5"/>
      <c r="C71" s="2">
        <v>2.51046376970986E-2</v>
      </c>
      <c r="D71">
        <v>9.7820010092556295E-3</v>
      </c>
      <c r="E71">
        <v>1.0195154351149101E-2</v>
      </c>
      <c r="F71" s="10">
        <f t="shared" si="6"/>
        <v>1.0422360763919929</v>
      </c>
      <c r="G71" s="4"/>
      <c r="I71">
        <v>1.20970549355645E-2</v>
      </c>
      <c r="J71">
        <v>1.24175942421624E-2</v>
      </c>
      <c r="K71" s="11">
        <f t="shared" si="7"/>
        <v>1.0264973010625533</v>
      </c>
    </row>
    <row r="72" spans="1:11" x14ac:dyDescent="0.3">
      <c r="A72">
        <v>75</v>
      </c>
      <c r="B72" s="5"/>
      <c r="C72" s="2">
        <v>3.1476119846668899E-2</v>
      </c>
      <c r="D72">
        <v>1.43763436727791E-2</v>
      </c>
      <c r="E72">
        <v>1.5782984835099299E-2</v>
      </c>
      <c r="F72" s="10">
        <f t="shared" si="6"/>
        <v>1.0978441524727602</v>
      </c>
      <c r="G72" s="4"/>
      <c r="I72">
        <v>1.8002551123509802E-2</v>
      </c>
      <c r="J72">
        <v>1.8976376994297401E-2</v>
      </c>
      <c r="K72" s="10">
        <f t="shared" si="7"/>
        <v>1.0540937706054263</v>
      </c>
    </row>
    <row r="73" spans="1:11" x14ac:dyDescent="0.3">
      <c r="A73">
        <v>100</v>
      </c>
      <c r="B73" s="5"/>
      <c r="C73" s="2">
        <v>5.2878603388737497E-2</v>
      </c>
      <c r="D73">
        <v>2.00458898906196E-2</v>
      </c>
      <c r="E73">
        <v>2.0804120655568799E-2</v>
      </c>
      <c r="F73" s="10">
        <f t="shared" si="6"/>
        <v>1.0378247495664441</v>
      </c>
      <c r="G73" s="4"/>
      <c r="I73">
        <v>2.4309982506840501E-2</v>
      </c>
      <c r="J73">
        <v>2.56065505285916E-2</v>
      </c>
      <c r="K73" s="11">
        <f t="shared" si="7"/>
        <v>1.0533347986320543</v>
      </c>
    </row>
    <row r="74" spans="1:11" x14ac:dyDescent="0.3">
      <c r="A74">
        <v>150</v>
      </c>
      <c r="B74" s="5"/>
      <c r="C74" s="2">
        <v>0.107716927588289</v>
      </c>
      <c r="D74">
        <v>3.0432830381329601E-2</v>
      </c>
      <c r="E74">
        <v>3.14434702136525E-2</v>
      </c>
      <c r="F74" s="10">
        <f t="shared" si="6"/>
        <v>1.0332088675177227</v>
      </c>
      <c r="G74" s="4"/>
      <c r="I74">
        <v>3.5308084946377202E-2</v>
      </c>
      <c r="J74">
        <v>3.7911161854217702E-2</v>
      </c>
      <c r="K74" s="10">
        <f t="shared" si="7"/>
        <v>1.0737246699104135</v>
      </c>
    </row>
    <row r="75" spans="1:11" x14ac:dyDescent="0.3">
      <c r="A75">
        <v>250</v>
      </c>
      <c r="B75" s="5"/>
      <c r="C75" s="2">
        <v>0.16515386445267599</v>
      </c>
      <c r="D75">
        <v>4.89210306757277E-2</v>
      </c>
      <c r="E75">
        <v>5.3975920537313898E-2</v>
      </c>
      <c r="F75" s="10">
        <f t="shared" si="6"/>
        <v>1.1033275421994369</v>
      </c>
      <c r="G75" s="4"/>
      <c r="I75">
        <v>5.8808790512075798E-2</v>
      </c>
      <c r="J75">
        <v>6.2265324575410202E-2</v>
      </c>
      <c r="K75" s="11">
        <f t="shared" si="7"/>
        <v>1.0587758060187387</v>
      </c>
    </row>
    <row r="76" spans="1:11" x14ac:dyDescent="0.3">
      <c r="A76">
        <v>500</v>
      </c>
      <c r="B76" s="5"/>
      <c r="C76" s="2">
        <v>0.22114304090137801</v>
      </c>
      <c r="D76">
        <v>9.6226590649767796E-2</v>
      </c>
      <c r="E76">
        <v>0.10212774105006001</v>
      </c>
      <c r="F76" s="10">
        <f t="shared" si="6"/>
        <v>1.0613255687481478</v>
      </c>
      <c r="G76" s="4"/>
      <c r="I76">
        <v>0.11146020972599301</v>
      </c>
      <c r="J76">
        <v>0.118001707852343</v>
      </c>
      <c r="K76" s="10">
        <f t="shared" si="7"/>
        <v>1.0586890886212328</v>
      </c>
    </row>
    <row r="77" spans="1:11" x14ac:dyDescent="0.3">
      <c r="A77">
        <v>750</v>
      </c>
      <c r="D77">
        <v>0.140294088260282</v>
      </c>
      <c r="E77">
        <v>0.15225875418305601</v>
      </c>
      <c r="F77" s="10">
        <f t="shared" si="6"/>
        <v>1.0852827519045309</v>
      </c>
      <c r="I77">
        <v>0.164782092113922</v>
      </c>
      <c r="J77">
        <v>0.171436913407884</v>
      </c>
      <c r="K77" s="11">
        <f t="shared" si="7"/>
        <v>1.0403855856458066</v>
      </c>
    </row>
    <row r="78" spans="1:11" x14ac:dyDescent="0.3">
      <c r="A78">
        <v>999.99</v>
      </c>
      <c r="D78">
        <v>0.181401571560247</v>
      </c>
      <c r="E78">
        <v>0.20058148390920799</v>
      </c>
      <c r="F78" s="10">
        <f t="shared" si="6"/>
        <v>1.1057317871283765</v>
      </c>
      <c r="I78">
        <v>0.211482254080264</v>
      </c>
      <c r="J78">
        <v>0.22688990016688301</v>
      </c>
      <c r="K78" s="10">
        <f t="shared" si="7"/>
        <v>1.0728555034256981</v>
      </c>
    </row>
    <row r="80" spans="1:11" x14ac:dyDescent="0.3">
      <c r="C80" s="12" t="s">
        <v>10</v>
      </c>
      <c r="D80" s="12"/>
      <c r="E80" s="13"/>
      <c r="F80" s="13"/>
      <c r="H80" s="2"/>
      <c r="I80" s="2"/>
      <c r="J80" s="2"/>
      <c r="K80" s="2"/>
    </row>
    <row r="81" spans="1:11" x14ac:dyDescent="0.3">
      <c r="C81" s="3" t="s">
        <v>4</v>
      </c>
      <c r="D81" s="3"/>
      <c r="E81" s="9"/>
      <c r="F81" s="3"/>
      <c r="H81" s="3" t="s">
        <v>3</v>
      </c>
      <c r="I81" s="3"/>
      <c r="J81" s="9"/>
      <c r="K81" s="9"/>
    </row>
    <row r="82" spans="1:11" x14ac:dyDescent="0.3">
      <c r="A82" s="6" t="s">
        <v>0</v>
      </c>
      <c r="B82" s="6"/>
      <c r="C82" s="6" t="s">
        <v>1</v>
      </c>
      <c r="D82" s="6" t="s">
        <v>7</v>
      </c>
      <c r="E82" s="6" t="s">
        <v>6</v>
      </c>
      <c r="F82" s="7" t="s">
        <v>8</v>
      </c>
      <c r="G82" s="8"/>
      <c r="H82" s="6" t="s">
        <v>1</v>
      </c>
      <c r="I82" s="6" t="s">
        <v>7</v>
      </c>
      <c r="J82" s="6" t="s">
        <v>6</v>
      </c>
      <c r="K82" s="7" t="s">
        <v>8</v>
      </c>
    </row>
    <row r="83" spans="1:11" x14ac:dyDescent="0.3">
      <c r="A83">
        <v>0.1</v>
      </c>
      <c r="B83" s="5"/>
      <c r="C83" s="2">
        <v>2.0906018648200899E-5</v>
      </c>
      <c r="D83" s="2">
        <v>2.8143173972499801E-7</v>
      </c>
      <c r="E83" s="2">
        <v>1.46150091119403E-6</v>
      </c>
      <c r="F83" s="10">
        <f t="shared" ref="F83:F94" si="8">F66*((E83/E66)^2 +(D83/D66)^2)^0.5</f>
        <v>7.5175789820697683E-2</v>
      </c>
      <c r="G83" s="4"/>
      <c r="H83" s="2"/>
      <c r="I83" s="2">
        <v>2.4434932696069799E-5</v>
      </c>
      <c r="J83" s="2">
        <v>2.5518609602937599E-5</v>
      </c>
      <c r="K83" s="10">
        <f>J83/I83</f>
        <v>1.0443494942403546</v>
      </c>
    </row>
    <row r="84" spans="1:11" x14ac:dyDescent="0.3">
      <c r="A84">
        <v>0.5</v>
      </c>
      <c r="B84" s="5"/>
      <c r="C84" s="2">
        <v>3.1327203465188001E-3</v>
      </c>
      <c r="D84" s="2">
        <v>1.5222069872849199E-6</v>
      </c>
      <c r="E84" s="2">
        <v>3.7622530224669299E-6</v>
      </c>
      <c r="F84" s="10">
        <f t="shared" si="8"/>
        <v>3.9379446327356661E-2</v>
      </c>
      <c r="G84" s="4"/>
      <c r="I84">
        <v>3.6561489620800698E-3</v>
      </c>
      <c r="J84">
        <v>3.8583728177792702E-3</v>
      </c>
      <c r="K84" s="11">
        <f t="shared" ref="K84:K93" si="9">J84/I84</f>
        <v>1.0553106172085915</v>
      </c>
    </row>
    <row r="85" spans="1:11" x14ac:dyDescent="0.3">
      <c r="A85">
        <v>1</v>
      </c>
      <c r="B85" s="5"/>
      <c r="C85" s="2">
        <v>6.2691724987101998E-3</v>
      </c>
      <c r="D85" s="2">
        <v>2.33807312394273E-6</v>
      </c>
      <c r="E85" s="2">
        <v>6.5127278910264096E-6</v>
      </c>
      <c r="F85" s="10">
        <f t="shared" si="8"/>
        <v>3.4692692812303069E-2</v>
      </c>
      <c r="G85" s="4"/>
      <c r="I85">
        <v>7.3167786817070497E-3</v>
      </c>
      <c r="J85">
        <v>7.7206053021012903E-3</v>
      </c>
      <c r="K85" s="10">
        <f t="shared" si="9"/>
        <v>1.0551918594181156</v>
      </c>
    </row>
    <row r="86" spans="1:11" x14ac:dyDescent="0.3">
      <c r="A86">
        <v>10</v>
      </c>
      <c r="B86" s="5"/>
      <c r="C86" s="2">
        <v>1.2558983712415E-2</v>
      </c>
      <c r="D86" s="2">
        <v>2.7701090496064399E-5</v>
      </c>
      <c r="E86" s="2">
        <v>3.8011060965548303E-5</v>
      </c>
      <c r="F86" s="10">
        <f t="shared" si="8"/>
        <v>2.4386896067040687E-2</v>
      </c>
      <c r="G86" s="4"/>
      <c r="I86">
        <v>1.4655010559957399E-2</v>
      </c>
      <c r="J86">
        <v>1.54708347850845E-2</v>
      </c>
      <c r="K86" s="11">
        <f t="shared" si="9"/>
        <v>1.0556686207621178</v>
      </c>
    </row>
    <row r="87" spans="1:11" x14ac:dyDescent="0.3">
      <c r="A87">
        <v>25</v>
      </c>
      <c r="B87" s="5"/>
      <c r="C87" s="2">
        <v>1.8782496824776201E-2</v>
      </c>
      <c r="D87" s="2">
        <v>8.0985715172972504E-5</v>
      </c>
      <c r="E87" s="2">
        <v>8.2936422592517207E-5</v>
      </c>
      <c r="F87" s="10">
        <f t="shared" si="8"/>
        <v>2.4408348565916203E-2</v>
      </c>
      <c r="G87" s="4"/>
      <c r="I87">
        <v>2.20520227131588E-2</v>
      </c>
      <c r="J87">
        <v>2.3279563002525702E-2</v>
      </c>
      <c r="K87" s="10">
        <f t="shared" si="9"/>
        <v>1.0556656550437167</v>
      </c>
    </row>
    <row r="88" spans="1:11" x14ac:dyDescent="0.3">
      <c r="A88">
        <v>50</v>
      </c>
      <c r="B88" s="5"/>
      <c r="C88" s="2">
        <v>2.51046376970986E-2</v>
      </c>
      <c r="D88">
        <v>1.14857385321631E-4</v>
      </c>
      <c r="E88">
        <v>1.40546480514001E-4</v>
      </c>
      <c r="F88" s="10">
        <f t="shared" si="8"/>
        <v>1.8873133491714433E-2</v>
      </c>
      <c r="G88" s="4"/>
      <c r="I88">
        <v>2.9379142051595902E-2</v>
      </c>
      <c r="J88">
        <v>3.0966693098777899E-2</v>
      </c>
      <c r="K88" s="11">
        <f t="shared" si="9"/>
        <v>1.0540366714723639</v>
      </c>
    </row>
    <row r="89" spans="1:11" x14ac:dyDescent="0.3">
      <c r="A89">
        <v>75</v>
      </c>
      <c r="B89" s="5"/>
      <c r="C89" s="2">
        <v>3.1476119846668899E-2</v>
      </c>
      <c r="D89">
        <v>1.6692001786006801E-4</v>
      </c>
      <c r="E89">
        <v>2.2355768083561999E-4</v>
      </c>
      <c r="F89" s="10">
        <f t="shared" si="8"/>
        <v>2.0107088599017175E-2</v>
      </c>
      <c r="G89" s="4"/>
      <c r="I89">
        <v>3.6804448452257998E-2</v>
      </c>
      <c r="J89">
        <v>3.8844686371276298E-2</v>
      </c>
      <c r="K89" s="10">
        <f t="shared" si="9"/>
        <v>1.0554345467685748</v>
      </c>
    </row>
    <row r="90" spans="1:11" x14ac:dyDescent="0.3">
      <c r="A90">
        <v>100</v>
      </c>
      <c r="B90" s="5"/>
      <c r="C90" s="2">
        <v>5.2878603388737497E-2</v>
      </c>
      <c r="D90">
        <v>2.77931449091848E-4</v>
      </c>
      <c r="E90">
        <v>2.1739476286188801E-4</v>
      </c>
      <c r="F90" s="10">
        <f t="shared" si="8"/>
        <v>1.8018315350781095E-2</v>
      </c>
      <c r="G90" s="4"/>
      <c r="I90">
        <v>6.1567552933483601E-2</v>
      </c>
      <c r="J90">
        <v>6.4958585716827305E-2</v>
      </c>
      <c r="K90" s="11">
        <f t="shared" si="9"/>
        <v>1.0550782453057264</v>
      </c>
    </row>
    <row r="91" spans="1:11" x14ac:dyDescent="0.3">
      <c r="A91">
        <v>150</v>
      </c>
      <c r="B91" s="5"/>
      <c r="C91" s="2">
        <v>0.107716927588289</v>
      </c>
      <c r="D91">
        <v>3.3888866496247497E-4</v>
      </c>
      <c r="E91">
        <v>4.2099807481717899E-4</v>
      </c>
      <c r="F91" s="10">
        <f t="shared" si="8"/>
        <v>1.7992932963347683E-2</v>
      </c>
      <c r="G91" s="4"/>
      <c r="I91">
        <v>0.124585487877085</v>
      </c>
      <c r="J91">
        <v>0.13088073929294</v>
      </c>
      <c r="K91" s="10">
        <f t="shared" si="9"/>
        <v>1.0505295722890764</v>
      </c>
    </row>
    <row r="92" spans="1:11" x14ac:dyDescent="0.3">
      <c r="A92">
        <v>250</v>
      </c>
      <c r="B92" s="5"/>
      <c r="C92" s="2">
        <v>0.16515386445267599</v>
      </c>
      <c r="D92">
        <v>6.0844630496931901E-4</v>
      </c>
      <c r="E92">
        <v>7.1735921087181002E-4</v>
      </c>
      <c r="F92" s="10">
        <f t="shared" si="8"/>
        <v>2.0082997872230529E-2</v>
      </c>
      <c r="G92" s="4"/>
      <c r="I92">
        <v>0.188315720076114</v>
      </c>
      <c r="J92">
        <v>0.19671890522285099</v>
      </c>
      <c r="K92" s="11">
        <f t="shared" si="9"/>
        <v>1.0446228554012409</v>
      </c>
    </row>
    <row r="93" spans="1:11" x14ac:dyDescent="0.3">
      <c r="A93">
        <v>500</v>
      </c>
      <c r="B93" s="5"/>
      <c r="C93" s="2">
        <v>0.22114304090137801</v>
      </c>
      <c r="D93">
        <v>1.3901143553867799E-3</v>
      </c>
      <c r="E93">
        <v>1.45703989958587E-3</v>
      </c>
      <c r="F93" s="10">
        <f t="shared" si="8"/>
        <v>2.1548753693625213E-2</v>
      </c>
      <c r="G93" s="4"/>
      <c r="I93">
        <v>0.25212873564071397</v>
      </c>
      <c r="J93">
        <v>0.26159631710660702</v>
      </c>
      <c r="K93" s="10">
        <f t="shared" si="9"/>
        <v>1.0375505847908761</v>
      </c>
    </row>
    <row r="94" spans="1:11" x14ac:dyDescent="0.3">
      <c r="A94">
        <v>750</v>
      </c>
      <c r="D94">
        <v>1.59024586083695E-3</v>
      </c>
      <c r="E94">
        <v>1.88927153592098E-3</v>
      </c>
      <c r="F94" s="10">
        <f t="shared" si="8"/>
        <v>1.8239532257896197E-2</v>
      </c>
    </row>
    <row r="95" spans="1:11" x14ac:dyDescent="0.3">
      <c r="A95">
        <v>999.99</v>
      </c>
      <c r="D95">
        <v>2.0916951916344802E-3</v>
      </c>
      <c r="E95">
        <v>2.14759074882869E-3</v>
      </c>
      <c r="F95" s="10">
        <f>F78*((E95/E78)^2 +(D95/D78)^2)^0.5</f>
        <v>1.7398828006913617E-2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Park</dc:creator>
  <cp:lastModifiedBy>Patrick Park</cp:lastModifiedBy>
  <dcterms:created xsi:type="dcterms:W3CDTF">2015-06-05T18:17:20Z</dcterms:created>
  <dcterms:modified xsi:type="dcterms:W3CDTF">2026-04-05T20:34:32Z</dcterms:modified>
</cp:coreProperties>
</file>