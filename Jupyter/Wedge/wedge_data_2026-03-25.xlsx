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ppark\projects\emma-openmc\Jupyter\Wedge\"/>
    </mc:Choice>
  </mc:AlternateContent>
  <xr:revisionPtr revIDLastSave="0" documentId="13_ncr:1_{776A2E84-5435-42BD-BA60-932CE983924B}" xr6:coauthVersionLast="47" xr6:coauthVersionMax="47" xr10:uidLastSave="{00000000-0000-0000-0000-000000000000}"/>
  <bookViews>
    <workbookView xWindow="-108" yWindow="-108" windowWidth="41496" windowHeight="17496" xr2:uid="{00000000-000D-0000-FFFF-FFFF00000000}"/>
  </bookViews>
  <sheets>
    <sheet name="Sheet 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4" i="3" l="1"/>
  <c r="P73" i="3"/>
  <c r="P72" i="3"/>
  <c r="P71" i="3"/>
  <c r="P70" i="3"/>
  <c r="P69" i="3"/>
  <c r="P68" i="3"/>
  <c r="Q68" i="3" s="1"/>
  <c r="P67" i="3"/>
  <c r="Q67" i="3" s="1"/>
  <c r="P66" i="3"/>
  <c r="Q66" i="3" s="1"/>
  <c r="P65" i="3"/>
  <c r="Q65" i="3" s="1"/>
  <c r="P64" i="3"/>
  <c r="Q64" i="3" s="1"/>
  <c r="P63" i="3"/>
  <c r="Q63" i="3" s="1"/>
  <c r="P62" i="3"/>
  <c r="Q62" i="3" s="1"/>
  <c r="I71" i="3"/>
  <c r="I70" i="3"/>
  <c r="I69" i="3"/>
  <c r="I68" i="3"/>
  <c r="I67" i="3"/>
  <c r="I66" i="3"/>
  <c r="I65" i="3"/>
  <c r="I64" i="3"/>
  <c r="I63" i="3"/>
  <c r="I62" i="3"/>
  <c r="Q74" i="3"/>
  <c r="Q73" i="3"/>
  <c r="Q72" i="3"/>
  <c r="Q71" i="3"/>
  <c r="Q70" i="3"/>
  <c r="Q69" i="3"/>
  <c r="Q36" i="3"/>
  <c r="Q34" i="3"/>
  <c r="I16" i="3"/>
  <c r="P55" i="3"/>
  <c r="Q55" i="3" s="1"/>
  <c r="P56" i="3"/>
  <c r="Q56" i="3" s="1"/>
  <c r="H63" i="3"/>
  <c r="H64" i="3"/>
  <c r="H65" i="3"/>
  <c r="H66" i="3"/>
  <c r="H67" i="3"/>
  <c r="H68" i="3"/>
  <c r="H69" i="3"/>
  <c r="H70" i="3"/>
  <c r="H71" i="3"/>
  <c r="H72" i="3"/>
  <c r="I72" i="3" s="1"/>
  <c r="H73" i="3"/>
  <c r="I73" i="3" s="1"/>
  <c r="H74" i="3"/>
  <c r="I74" i="3" s="1"/>
  <c r="H45" i="3"/>
  <c r="I45" i="3" s="1"/>
  <c r="H46" i="3"/>
  <c r="I46" i="3" s="1"/>
  <c r="H47" i="3"/>
  <c r="I47" i="3" s="1"/>
  <c r="H48" i="3"/>
  <c r="I48" i="3" s="1"/>
  <c r="H49" i="3"/>
  <c r="I49" i="3" s="1"/>
  <c r="H50" i="3"/>
  <c r="I50" i="3" s="1"/>
  <c r="H51" i="3"/>
  <c r="I51" i="3" s="1"/>
  <c r="H52" i="3"/>
  <c r="I52" i="3" s="1"/>
  <c r="H53" i="3"/>
  <c r="I53" i="3" s="1"/>
  <c r="H54" i="3"/>
  <c r="I54" i="3" s="1"/>
  <c r="H55" i="3"/>
  <c r="I55" i="3" s="1"/>
  <c r="H56" i="3"/>
  <c r="I56" i="3" s="1"/>
  <c r="H25" i="3"/>
  <c r="I25" i="3" s="1"/>
  <c r="H26" i="3"/>
  <c r="I26" i="3" s="1"/>
  <c r="H27" i="3"/>
  <c r="I27" i="3" s="1"/>
  <c r="H28" i="3"/>
  <c r="I28" i="3" s="1"/>
  <c r="H29" i="3"/>
  <c r="I29" i="3" s="1"/>
  <c r="H30" i="3"/>
  <c r="I30" i="3" s="1"/>
  <c r="H31" i="3"/>
  <c r="I31" i="3" s="1"/>
  <c r="H32" i="3"/>
  <c r="I32" i="3" s="1"/>
  <c r="H33" i="3"/>
  <c r="I33" i="3" s="1"/>
  <c r="H34" i="3"/>
  <c r="I34" i="3" s="1"/>
  <c r="H35" i="3"/>
  <c r="I35" i="3" s="1"/>
  <c r="H36" i="3"/>
  <c r="I36" i="3" s="1"/>
  <c r="P25" i="3"/>
  <c r="Q25" i="3" s="1"/>
  <c r="P26" i="3"/>
  <c r="Q26" i="3" s="1"/>
  <c r="P27" i="3"/>
  <c r="Q27" i="3" s="1"/>
  <c r="P28" i="3"/>
  <c r="Q28" i="3" s="1"/>
  <c r="P29" i="3"/>
  <c r="Q29" i="3" s="1"/>
  <c r="P30" i="3"/>
  <c r="Q30" i="3" s="1"/>
  <c r="P31" i="3"/>
  <c r="Q31" i="3" s="1"/>
  <c r="P32" i="3"/>
  <c r="Q32" i="3" s="1"/>
  <c r="P33" i="3"/>
  <c r="Q33" i="3" s="1"/>
  <c r="P34" i="3"/>
  <c r="P35" i="3"/>
  <c r="Q35" i="3" s="1"/>
  <c r="P36" i="3"/>
  <c r="P6" i="3"/>
  <c r="Q6" i="3" s="1"/>
  <c r="P7" i="3"/>
  <c r="Q7" i="3" s="1"/>
  <c r="P8" i="3"/>
  <c r="Q8" i="3" s="1"/>
  <c r="P9" i="3"/>
  <c r="Q9" i="3" s="1"/>
  <c r="P10" i="3"/>
  <c r="Q10" i="3" s="1"/>
  <c r="P11" i="3"/>
  <c r="Q11" i="3" s="1"/>
  <c r="P12" i="3"/>
  <c r="Q12" i="3" s="1"/>
  <c r="P13" i="3"/>
  <c r="Q13" i="3" s="1"/>
  <c r="P14" i="3"/>
  <c r="Q14" i="3" s="1"/>
  <c r="P15" i="3"/>
  <c r="Q15" i="3" s="1"/>
  <c r="P16" i="3"/>
  <c r="Q16" i="3" s="1"/>
  <c r="P17" i="3"/>
  <c r="Q17" i="3" s="1"/>
  <c r="H6" i="3"/>
  <c r="I6" i="3" s="1"/>
  <c r="H7" i="3"/>
  <c r="I7" i="3" s="1"/>
  <c r="H8" i="3"/>
  <c r="I8" i="3" s="1"/>
  <c r="H9" i="3"/>
  <c r="I9" i="3" s="1"/>
  <c r="H10" i="3"/>
  <c r="I10" i="3" s="1"/>
  <c r="H11" i="3"/>
  <c r="I11" i="3" s="1"/>
  <c r="H12" i="3"/>
  <c r="I12" i="3" s="1"/>
  <c r="H13" i="3"/>
  <c r="I13" i="3" s="1"/>
  <c r="H14" i="3"/>
  <c r="I14" i="3" s="1"/>
  <c r="H15" i="3"/>
  <c r="I15" i="3" s="1"/>
  <c r="H16" i="3"/>
  <c r="H17" i="3"/>
  <c r="I17" i="3" s="1"/>
  <c r="H62" i="3"/>
  <c r="P54" i="3"/>
  <c r="Q54" i="3" s="1"/>
  <c r="P53" i="3"/>
  <c r="Q53" i="3" s="1"/>
  <c r="P52" i="3"/>
  <c r="Q52" i="3" s="1"/>
  <c r="P51" i="3"/>
  <c r="Q51" i="3" s="1"/>
  <c r="P50" i="3"/>
  <c r="Q50" i="3" s="1"/>
  <c r="P49" i="3"/>
  <c r="Q49" i="3" s="1"/>
  <c r="P48" i="3"/>
  <c r="Q48" i="3" s="1"/>
  <c r="P47" i="3"/>
  <c r="Q47" i="3" s="1"/>
  <c r="P46" i="3"/>
  <c r="Q46" i="3" s="1"/>
  <c r="P45" i="3"/>
  <c r="Q45" i="3" s="1"/>
  <c r="P44" i="3"/>
  <c r="Q44" i="3" s="1"/>
  <c r="H44" i="3"/>
  <c r="I44" i="3" s="1"/>
  <c r="P24" i="3"/>
  <c r="Q24" i="3" s="1"/>
  <c r="P5" i="3"/>
  <c r="Q5" i="3" s="1"/>
  <c r="H24" i="3" l="1"/>
  <c r="I24" i="3" s="1"/>
  <c r="H5" i="3" l="1"/>
  <c r="I5" i="3" s="1"/>
</calcChain>
</file>

<file path=xl/sharedStrings.xml><?xml version="1.0" encoding="utf-8"?>
<sst xmlns="http://schemas.openxmlformats.org/spreadsheetml/2006/main" count="73" uniqueCount="13">
  <si>
    <t>Fertile kg/m3</t>
  </si>
  <si>
    <t>D-shape</t>
  </si>
  <si>
    <t>TRITIUM BREEDING RATIO [ RXNS/SRC-N ]</t>
  </si>
  <si>
    <t>Thorium BISO</t>
  </si>
  <si>
    <t>Uranium BISO</t>
  </si>
  <si>
    <t>FISSILE PRODUCTION RATE [ RXNS/SRC-N ]</t>
  </si>
  <si>
    <t>=C/A</t>
  </si>
  <si>
    <t>DCLL-Greta</t>
  </si>
  <si>
    <t>Prism A</t>
  </si>
  <si>
    <t>Prism A stdev</t>
  </si>
  <si>
    <t>Prism C</t>
  </si>
  <si>
    <t>Prism C stdev</t>
  </si>
  <si>
    <t>=C/A stdev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</si>
</sst>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color rgb="FF00B0F0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11" fontId="0" fillId="3" borderId="0" xfId="0" applyNumberFormat="1" applyFill="1"/>
    <xf numFmtId="0" fontId="1" fillId="2" borderId="0" xfId="0" applyFont="1" applyFill="1"/>
    <xf numFmtId="0" fontId="0" fillId="2" borderId="0" xfId="0" applyFill="1"/>
    <xf numFmtId="164" fontId="0" fillId="0" borderId="0" xfId="0" applyNumberFormat="1"/>
    <xf numFmtId="164" fontId="0" fillId="3" borderId="0" xfId="0" applyNumberFormat="1" applyFill="1"/>
    <xf numFmtId="11" fontId="2" fillId="0" borderId="0" xfId="0" applyNumberFormat="1" applyFont="1"/>
    <xf numFmtId="0" fontId="3" fillId="0" borderId="0" xfId="0" applyFont="1"/>
    <xf numFmtId="11" fontId="4" fillId="0" borderId="0" xfId="0" applyNumberFormat="1" applyFont="1"/>
    <xf numFmtId="0" fontId="5" fillId="0" borderId="0" xfId="0" applyFont="1"/>
    <xf numFmtId="165" fontId="0" fillId="0" borderId="0" xfId="0" applyNumberFormat="1"/>
    <xf numFmtId="0" fontId="0" fillId="4" borderId="0" xfId="0" applyFill="1"/>
    <xf numFmtId="0" fontId="1" fillId="4" borderId="0" xfId="0" applyFont="1" applyFill="1"/>
    <xf numFmtId="0" fontId="1" fillId="4" borderId="0" xfId="0" quotePrefix="1" applyFont="1" applyFill="1"/>
    <xf numFmtId="0" fontId="0" fillId="5" borderId="0" xfId="0" applyFill="1"/>
    <xf numFmtId="0" fontId="1" fillId="5" borderId="0" xfId="0" applyFont="1" applyFill="1"/>
    <xf numFmtId="0" fontId="1" fillId="5" borderId="0" xfId="0" quotePrefix="1" applyFont="1" applyFill="1"/>
    <xf numFmtId="0" fontId="6" fillId="0" borderId="0" xfId="0" applyFont="1"/>
    <xf numFmtId="1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1'!$A$24:$A$36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1'!$H$24:$H$36</c:f>
              <c:numCache>
                <c:formatCode>0.000</c:formatCode>
                <c:ptCount val="13"/>
                <c:pt idx="0">
                  <c:v>0.67015864678428949</c:v>
                </c:pt>
                <c:pt idx="1">
                  <c:v>0.67399433743759052</c:v>
                </c:pt>
                <c:pt idx="2">
                  <c:v>0.67258163487423628</c:v>
                </c:pt>
                <c:pt idx="3">
                  <c:v>0.69883311557825745</c:v>
                </c:pt>
                <c:pt idx="4">
                  <c:v>0.73244907600666376</c:v>
                </c:pt>
                <c:pt idx="5">
                  <c:v>0.76691398093902452</c:v>
                </c:pt>
                <c:pt idx="6">
                  <c:v>0.79412199858198884</c:v>
                </c:pt>
                <c:pt idx="7">
                  <c:v>0.82771654679092965</c:v>
                </c:pt>
                <c:pt idx="8">
                  <c:v>0.87277793951821403</c:v>
                </c:pt>
                <c:pt idx="9">
                  <c:v>0.90774216971761523</c:v>
                </c:pt>
                <c:pt idx="10">
                  <c:v>0.96885985849430767</c:v>
                </c:pt>
                <c:pt idx="11">
                  <c:v>1.0035052756769365</c:v>
                </c:pt>
                <c:pt idx="12">
                  <c:v>1.0159556160581653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9A-4093-8446-03EAE435C4F9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1'!$A$24:$A$36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1'!$P$24:$P$36</c:f>
              <c:numCache>
                <c:formatCode>0.000000</c:formatCode>
                <c:ptCount val="13"/>
                <c:pt idx="0">
                  <c:v>0.85719868916492581</c:v>
                </c:pt>
                <c:pt idx="1">
                  <c:v>0.86272360378029123</c:v>
                </c:pt>
                <c:pt idx="2">
                  <c:v>0.86473422707265823</c:v>
                </c:pt>
                <c:pt idx="3">
                  <c:v>0.87150263943790185</c:v>
                </c:pt>
                <c:pt idx="4">
                  <c:v>0.8842176678721938</c:v>
                </c:pt>
                <c:pt idx="5">
                  <c:v>0.89942526896969821</c:v>
                </c:pt>
                <c:pt idx="6">
                  <c:v>0.92270745337377136</c:v>
                </c:pt>
                <c:pt idx="7">
                  <c:v>0.92487302633259483</c:v>
                </c:pt>
                <c:pt idx="8">
                  <c:v>0.95280649072651702</c:v>
                </c:pt>
                <c:pt idx="9">
                  <c:v>0.96680285364811647</c:v>
                </c:pt>
                <c:pt idx="10">
                  <c:v>0.996195710817117</c:v>
                </c:pt>
                <c:pt idx="11">
                  <c:v>1.0164077631511579</c:v>
                </c:pt>
                <c:pt idx="12">
                  <c:v>1.025113077347247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F9A-4093-8446-03EAE435C4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4162240"/>
        <c:axId val="1123278832"/>
      </c:scatterChart>
      <c:valAx>
        <c:axId val="1154162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3278832"/>
        <c:crosses val="autoZero"/>
        <c:crossBetween val="midCat"/>
      </c:valAx>
      <c:valAx>
        <c:axId val="1123278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41622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1'!$A$5:$A$17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1'!$H$5:$H$17</c:f>
              <c:numCache>
                <c:formatCode>0.000000</c:formatCode>
                <c:ptCount val="13"/>
                <c:pt idx="0">
                  <c:v>1.0001629351709587</c:v>
                </c:pt>
                <c:pt idx="1">
                  <c:v>1.0000650261216626</c:v>
                </c:pt>
                <c:pt idx="2">
                  <c:v>0.99996036360746876</c:v>
                </c:pt>
                <c:pt idx="3">
                  <c:v>1.0005266084564297</c:v>
                </c:pt>
                <c:pt idx="4">
                  <c:v>1.0018467149465879</c:v>
                </c:pt>
                <c:pt idx="5">
                  <c:v>1.002287048308576</c:v>
                </c:pt>
                <c:pt idx="6">
                  <c:v>1.0038025582102672</c:v>
                </c:pt>
                <c:pt idx="7">
                  <c:v>1.0036838050286592</c:v>
                </c:pt>
                <c:pt idx="8">
                  <c:v>1.002467577491776</c:v>
                </c:pt>
                <c:pt idx="9">
                  <c:v>1.000596548769378</c:v>
                </c:pt>
                <c:pt idx="10">
                  <c:v>1.0015290596941282</c:v>
                </c:pt>
                <c:pt idx="11">
                  <c:v>1.0029865814925498</c:v>
                </c:pt>
                <c:pt idx="12">
                  <c:v>1.0003513071302839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0AF-4FCE-B287-FF786F74DDE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1'!$A$5:$A$17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1'!$P$5:$P$17</c:f>
              <c:numCache>
                <c:formatCode>0.000000</c:formatCode>
                <c:ptCount val="13"/>
                <c:pt idx="0">
                  <c:v>1.0001778209825207</c:v>
                </c:pt>
                <c:pt idx="1">
                  <c:v>1.0000381873265614</c:v>
                </c:pt>
                <c:pt idx="2">
                  <c:v>0.99990753724213677</c:v>
                </c:pt>
                <c:pt idx="3">
                  <c:v>1.0002355998584036</c:v>
                </c:pt>
                <c:pt idx="4">
                  <c:v>1.0004553713443167</c:v>
                </c:pt>
                <c:pt idx="5">
                  <c:v>1.0005898491614427</c:v>
                </c:pt>
                <c:pt idx="6">
                  <c:v>1.0011630341173221</c:v>
                </c:pt>
                <c:pt idx="7">
                  <c:v>1.0006238901134941</c:v>
                </c:pt>
                <c:pt idx="8">
                  <c:v>1.0042585132338837</c:v>
                </c:pt>
                <c:pt idx="9">
                  <c:v>0.99880156437237411</c:v>
                </c:pt>
                <c:pt idx="10">
                  <c:v>0.99475053432196514</c:v>
                </c:pt>
                <c:pt idx="11">
                  <c:v>1.0016645335554861</c:v>
                </c:pt>
                <c:pt idx="12">
                  <c:v>0.99641459582252734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0AF-4FCE-B287-FF786F74DD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40016"/>
        <c:axId val="1342342896"/>
      </c:scatterChart>
      <c:valAx>
        <c:axId val="13423400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2896"/>
        <c:crosses val="autoZero"/>
        <c:crossBetween val="midCat"/>
      </c:valAx>
      <c:valAx>
        <c:axId val="134234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40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1'!$A$44:$A$56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1'!$H$44:$H$56</c:f>
              <c:numCache>
                <c:formatCode>0.000000</c:formatCode>
                <c:ptCount val="13"/>
                <c:pt idx="0">
                  <c:v>1.0029352823676327</c:v>
                </c:pt>
                <c:pt idx="1">
                  <c:v>0.98224520701169626</c:v>
                </c:pt>
                <c:pt idx="2">
                  <c:v>0.99535113208221782</c:v>
                </c:pt>
                <c:pt idx="3">
                  <c:v>1.009239958157601</c:v>
                </c:pt>
                <c:pt idx="4">
                  <c:v>1.0063851550945806</c:v>
                </c:pt>
                <c:pt idx="5">
                  <c:v>1.0046707615573558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88-4E6E-B386-C7DF904D6E61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1'!$A$44:$A$56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1'!$P$44:$P$56</c:f>
              <c:numCache>
                <c:formatCode>0.000000</c:formatCode>
                <c:ptCount val="13"/>
                <c:pt idx="0">
                  <c:v>0</c:v>
                </c:pt>
                <c:pt idx="1">
                  <c:v>1.0001619611909021</c:v>
                </c:pt>
                <c:pt idx="2">
                  <c:v>1.0001147967856605</c:v>
                </c:pt>
                <c:pt idx="3">
                  <c:v>0.99972727168909759</c:v>
                </c:pt>
                <c:pt idx="4">
                  <c:v>1.0009621278127161</c:v>
                </c:pt>
                <c:pt idx="5">
                  <c:v>0.99965798036547726</c:v>
                </c:pt>
                <c:pt idx="6">
                  <c:v>0.99728610985822141</c:v>
                </c:pt>
                <c:pt idx="7">
                  <c:v>0.99904092814030765</c:v>
                </c:pt>
                <c:pt idx="8">
                  <c:v>0.99984894845423344</c:v>
                </c:pt>
                <c:pt idx="9">
                  <c:v>0.9997025557725211</c:v>
                </c:pt>
                <c:pt idx="10">
                  <c:v>1.0016101422064423</c:v>
                </c:pt>
                <c:pt idx="11">
                  <c:v>0.99432829011273149</c:v>
                </c:pt>
                <c:pt idx="12">
                  <c:v>0.98920834124726476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88-4E6E-B386-C7DF904D6E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55856"/>
        <c:axId val="1342363056"/>
      </c:scatterChart>
      <c:valAx>
        <c:axId val="1342355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63056"/>
        <c:crosses val="autoZero"/>
        <c:crossBetween val="midCat"/>
      </c:valAx>
      <c:valAx>
        <c:axId val="134236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558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1'!$A$62:$A$74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1'!$H$62:$H$74</c:f>
              <c:numCache>
                <c:formatCode>0.000000</c:formatCode>
                <c:ptCount val="13"/>
                <c:pt idx="0">
                  <c:v>1.0417490015674646</c:v>
                </c:pt>
                <c:pt idx="1">
                  <c:v>1.0149892108133356</c:v>
                </c:pt>
                <c:pt idx="2">
                  <c:v>1.0382137988437394</c:v>
                </c:pt>
                <c:pt idx="3">
                  <c:v>1.0585263015095798</c:v>
                </c:pt>
                <c:pt idx="4">
                  <c:v>1.0608306647563586</c:v>
                </c:pt>
                <c:pt idx="5">
                  <c:v>1.0678523167293434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71-4D74-B5A8-4EE6279B7B3D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1'!$A$62:$A$74</c:f>
              <c:numCache>
                <c:formatCode>General</c:formatCode>
                <c:ptCount val="13"/>
                <c:pt idx="0">
                  <c:v>0.1</c:v>
                </c:pt>
                <c:pt idx="1">
                  <c:v>0.5</c:v>
                </c:pt>
                <c:pt idx="2">
                  <c:v>1</c:v>
                </c:pt>
                <c:pt idx="3">
                  <c:v>10</c:v>
                </c:pt>
                <c:pt idx="4">
                  <c:v>25</c:v>
                </c:pt>
                <c:pt idx="5">
                  <c:v>50</c:v>
                </c:pt>
                <c:pt idx="6">
                  <c:v>75</c:v>
                </c:pt>
                <c:pt idx="7">
                  <c:v>100</c:v>
                </c:pt>
                <c:pt idx="8">
                  <c:v>150</c:v>
                </c:pt>
                <c:pt idx="9">
                  <c:v>250</c:v>
                </c:pt>
                <c:pt idx="10">
                  <c:v>500</c:v>
                </c:pt>
                <c:pt idx="11">
                  <c:v>750</c:v>
                </c:pt>
                <c:pt idx="12">
                  <c:v>999.99</c:v>
                </c:pt>
              </c:numCache>
            </c:numRef>
          </c:xVal>
          <c:yVal>
            <c:numRef>
              <c:f>'Sheet 1'!$P$62:$P$74</c:f>
              <c:numCache>
                <c:formatCode>0.000000</c:formatCode>
                <c:ptCount val="13"/>
                <c:pt idx="0">
                  <c:v>0</c:v>
                </c:pt>
                <c:pt idx="1">
                  <c:v>1.0468679184142133</c:v>
                </c:pt>
                <c:pt idx="2">
                  <c:v>1.0491120103788383</c:v>
                </c:pt>
                <c:pt idx="3">
                  <c:v>1.0548236283228316</c:v>
                </c:pt>
                <c:pt idx="4">
                  <c:v>1.0592976963273675</c:v>
                </c:pt>
                <c:pt idx="5">
                  <c:v>1.0599512468140793</c:v>
                </c:pt>
                <c:pt idx="6">
                  <c:v>1.0559969197962629</c:v>
                </c:pt>
                <c:pt idx="7">
                  <c:v>1.0610351455367648</c:v>
                </c:pt>
                <c:pt idx="8">
                  <c:v>1.0635211665810387</c:v>
                </c:pt>
                <c:pt idx="9">
                  <c:v>1.0673679820985291</c:v>
                </c:pt>
                <c:pt idx="10">
                  <c:v>1.0749164325098632</c:v>
                </c:pt>
                <c:pt idx="11">
                  <c:v>1.0676051493877452</c:v>
                </c:pt>
                <c:pt idx="12">
                  <c:v>1.0682957802000932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71-4D74-B5A8-4EE6279B7B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42380336"/>
        <c:axId val="1342369296"/>
      </c:scatterChart>
      <c:valAx>
        <c:axId val="13423803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69296"/>
        <c:crosses val="autoZero"/>
        <c:crossBetween val="midCat"/>
      </c:valAx>
      <c:valAx>
        <c:axId val="1342369296"/>
        <c:scaling>
          <c:orientation val="minMax"/>
          <c:min val="0.95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23803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583097</xdr:colOff>
      <xdr:row>21</xdr:row>
      <xdr:rowOff>1</xdr:rowOff>
    </xdr:from>
    <xdr:to>
      <xdr:col>25</xdr:col>
      <xdr:colOff>278297</xdr:colOff>
      <xdr:row>35</xdr:row>
      <xdr:rowOff>145775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05D9A80-E1AA-E71B-225B-10B9F8C8DC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596348</xdr:colOff>
      <xdr:row>2</xdr:row>
      <xdr:rowOff>19878</xdr:rowOff>
    </xdr:from>
    <xdr:to>
      <xdr:col>25</xdr:col>
      <xdr:colOff>291548</xdr:colOff>
      <xdr:row>16</xdr:row>
      <xdr:rowOff>165652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B409E-0F1D-3927-8CC6-C3C817ACD9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53010</xdr:colOff>
      <xdr:row>42</xdr:row>
      <xdr:rowOff>159027</xdr:rowOff>
    </xdr:from>
    <xdr:to>
      <xdr:col>25</xdr:col>
      <xdr:colOff>357810</xdr:colOff>
      <xdr:row>57</xdr:row>
      <xdr:rowOff>119270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0F6E031-1B10-7A61-F473-7E5EC3DC01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417444</xdr:colOff>
      <xdr:row>59</xdr:row>
      <xdr:rowOff>152400</xdr:rowOff>
    </xdr:from>
    <xdr:to>
      <xdr:col>25</xdr:col>
      <xdr:colOff>112644</xdr:colOff>
      <xdr:row>74</xdr:row>
      <xdr:rowOff>112644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45022B1-EA92-9A14-99B5-645E9443F9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16C2-1180-4450-A3B0-0B08DD9AEC85}">
  <dimension ref="A1:Q74"/>
  <sheetViews>
    <sheetView tabSelected="1" topLeftCell="A38" zoomScale="115" zoomScaleNormal="115" workbookViewId="0">
      <selection activeCell="L57" sqref="L57"/>
    </sheetView>
  </sheetViews>
  <sheetFormatPr defaultRowHeight="14.4" x14ac:dyDescent="0.3"/>
  <cols>
    <col min="1" max="1" width="12.33203125" customWidth="1"/>
    <col min="2" max="2" width="2.109375" customWidth="1"/>
    <col min="3" max="5" width="12.21875" customWidth="1"/>
    <col min="6" max="7" width="15.88671875" customWidth="1"/>
    <col min="8" max="8" width="12.5546875" customWidth="1"/>
    <col min="9" max="9" width="15.109375" customWidth="1"/>
    <col min="10" max="10" width="2.77734375" customWidth="1"/>
    <col min="11" max="13" width="13.33203125" customWidth="1"/>
    <col min="14" max="14" width="15.5546875" customWidth="1"/>
    <col min="15" max="15" width="14.21875" customWidth="1"/>
    <col min="16" max="16" width="12.21875" customWidth="1"/>
    <col min="17" max="17" width="12.77734375" customWidth="1"/>
  </cols>
  <sheetData>
    <row r="1" spans="1:17" x14ac:dyDescent="0.3">
      <c r="K1" s="1"/>
      <c r="L1" s="1"/>
      <c r="M1" s="1"/>
      <c r="N1" s="1"/>
    </row>
    <row r="2" spans="1:17" x14ac:dyDescent="0.3">
      <c r="C2" s="11" t="s">
        <v>2</v>
      </c>
      <c r="D2" s="11"/>
      <c r="E2" s="11"/>
      <c r="F2" s="12"/>
      <c r="G2" s="12"/>
      <c r="H2" s="12"/>
      <c r="K2" s="2"/>
      <c r="L2" s="2"/>
      <c r="M2" s="2"/>
      <c r="N2" s="2"/>
    </row>
    <row r="3" spans="1:17" x14ac:dyDescent="0.3">
      <c r="C3" s="14" t="s">
        <v>4</v>
      </c>
      <c r="D3" s="14"/>
      <c r="E3" s="14"/>
      <c r="F3" s="15"/>
      <c r="G3" s="15"/>
      <c r="H3" s="15"/>
      <c r="I3" s="14"/>
      <c r="K3" s="17" t="s">
        <v>3</v>
      </c>
      <c r="L3" s="17"/>
      <c r="M3" s="18"/>
      <c r="N3" s="18"/>
      <c r="O3" s="17"/>
      <c r="P3" s="17"/>
      <c r="Q3" s="17"/>
    </row>
    <row r="4" spans="1:17" x14ac:dyDescent="0.3">
      <c r="A4" s="5" t="s">
        <v>0</v>
      </c>
      <c r="B4" s="5"/>
      <c r="C4" s="15" t="s">
        <v>1</v>
      </c>
      <c r="D4" s="15" t="s">
        <v>8</v>
      </c>
      <c r="E4" s="15" t="s">
        <v>9</v>
      </c>
      <c r="F4" s="15" t="s">
        <v>10</v>
      </c>
      <c r="G4" s="15" t="s">
        <v>11</v>
      </c>
      <c r="H4" s="16" t="s">
        <v>6</v>
      </c>
      <c r="I4" s="16" t="s">
        <v>12</v>
      </c>
      <c r="J4" s="6"/>
      <c r="K4" s="18" t="s">
        <v>1</v>
      </c>
      <c r="L4" s="18" t="s">
        <v>8</v>
      </c>
      <c r="M4" s="18" t="s">
        <v>9</v>
      </c>
      <c r="N4" s="18" t="s">
        <v>10</v>
      </c>
      <c r="O4" s="18" t="s">
        <v>11</v>
      </c>
      <c r="P4" s="19" t="s">
        <v>6</v>
      </c>
      <c r="Q4" s="19" t="s">
        <v>12</v>
      </c>
    </row>
    <row r="5" spans="1:17" x14ac:dyDescent="0.3">
      <c r="A5">
        <v>0.1</v>
      </c>
      <c r="B5" s="4"/>
      <c r="D5">
        <v>1.3891095589010301</v>
      </c>
      <c r="E5">
        <v>1.02494314460544E-4</v>
      </c>
      <c r="F5">
        <v>1.38933589370449</v>
      </c>
      <c r="G5">
        <v>1.1377551521665301E-4</v>
      </c>
      <c r="H5" s="7">
        <f t="shared" ref="H5:H17" si="0">F5/D5</f>
        <v>1.0001629351709587</v>
      </c>
      <c r="I5">
        <f>H5*((E5/D5)^2 +(G5/F5)^2)^0.5</f>
        <v>1.1024684824037706E-4</v>
      </c>
      <c r="J5" s="3"/>
      <c r="L5">
        <v>1.38908077443087</v>
      </c>
      <c r="M5">
        <v>1.0124318874365601E-4</v>
      </c>
      <c r="N5">
        <v>1.38932778213898</v>
      </c>
      <c r="O5">
        <v>1.14700118954492E-4</v>
      </c>
      <c r="P5" s="7">
        <f>N5/L5</f>
        <v>1.0001778209825207</v>
      </c>
      <c r="Q5">
        <f>P5*((M5/L5)^2 +(O5/N5)^2)^0.5</f>
        <v>1.1014700886063438E-4</v>
      </c>
    </row>
    <row r="6" spans="1:17" x14ac:dyDescent="0.3">
      <c r="A6">
        <v>0.5</v>
      </c>
      <c r="B6" s="4"/>
      <c r="D6">
        <v>1.38907673010083</v>
      </c>
      <c r="E6">
        <v>1.52707495750366E-4</v>
      </c>
      <c r="F6">
        <v>1.3891670563732801</v>
      </c>
      <c r="G6">
        <v>1.6878154642812701E-4</v>
      </c>
      <c r="H6" s="7">
        <f t="shared" si="0"/>
        <v>1.0000650261216626</v>
      </c>
      <c r="I6">
        <f t="shared" ref="I6:I16" si="1">H6*((E6/D6)^2 +(G6/F6)^2)^0.5</f>
        <v>1.6386259048946993E-4</v>
      </c>
      <c r="J6" s="3"/>
      <c r="L6">
        <v>1.3890751130454999</v>
      </c>
      <c r="M6">
        <v>1.5633111145029499E-4</v>
      </c>
      <c r="N6">
        <v>1.38912815811046</v>
      </c>
      <c r="O6">
        <v>1.6988497331219999E-4</v>
      </c>
      <c r="P6" s="7">
        <f>N6/L6</f>
        <v>1.0000381873265614</v>
      </c>
      <c r="Q6">
        <f t="shared" ref="Q6:Q16" si="2">P6*((M6/L6)^2 +(O6/N6)^2)^0.5</f>
        <v>1.6620603320820275E-4</v>
      </c>
    </row>
    <row r="7" spans="1:17" x14ac:dyDescent="0.3">
      <c r="A7">
        <v>1</v>
      </c>
      <c r="B7" s="4"/>
      <c r="D7">
        <v>1.3889139640202901</v>
      </c>
      <c r="E7">
        <v>1.8201886596701201E-4</v>
      </c>
      <c r="F7">
        <v>1.3888589124812201</v>
      </c>
      <c r="G7">
        <v>1.54337152453701E-4</v>
      </c>
      <c r="H7" s="7">
        <f t="shared" si="0"/>
        <v>0.99996036360746876</v>
      </c>
      <c r="I7">
        <f t="shared" si="1"/>
        <v>1.7181641313147609E-4</v>
      </c>
      <c r="J7" s="3"/>
      <c r="L7">
        <v>1.3889046123851001</v>
      </c>
      <c r="M7">
        <v>1.70335691939932E-4</v>
      </c>
      <c r="N7">
        <v>1.38877619043423</v>
      </c>
      <c r="O7">
        <v>1.5373454905333599E-4</v>
      </c>
      <c r="P7" s="7">
        <f>N7/L7</f>
        <v>0.99990753724213677</v>
      </c>
      <c r="Q7">
        <f t="shared" si="2"/>
        <v>1.6519568405949642E-4</v>
      </c>
    </row>
    <row r="8" spans="1:17" x14ac:dyDescent="0.3">
      <c r="A8">
        <v>10</v>
      </c>
      <c r="B8" s="4"/>
      <c r="D8">
        <v>1.38607567014507</v>
      </c>
      <c r="E8">
        <v>3.8958612319318502E-4</v>
      </c>
      <c r="F8">
        <v>1.3868055893142199</v>
      </c>
      <c r="G8">
        <v>4.0944327607914799E-4</v>
      </c>
      <c r="H8" s="7">
        <f t="shared" si="0"/>
        <v>1.0005266084564297</v>
      </c>
      <c r="I8">
        <f t="shared" si="1"/>
        <v>4.0785290749755253E-4</v>
      </c>
      <c r="J8" s="3"/>
      <c r="L8">
        <v>1.3856175235925701</v>
      </c>
      <c r="M8">
        <v>4.5540286699321999E-4</v>
      </c>
      <c r="N8">
        <v>1.38594397488493</v>
      </c>
      <c r="O8">
        <v>4.3477128848851398E-4</v>
      </c>
      <c r="P8" s="7">
        <f>N8/L8</f>
        <v>1.0002355998584036</v>
      </c>
      <c r="Q8">
        <f t="shared" si="2"/>
        <v>4.5445068306877072E-4</v>
      </c>
    </row>
    <row r="9" spans="1:17" s="3" customFormat="1" x14ac:dyDescent="0.3">
      <c r="A9">
        <v>25</v>
      </c>
      <c r="B9" s="4"/>
      <c r="C9"/>
      <c r="D9">
        <v>1.37947186689904</v>
      </c>
      <c r="E9">
        <v>8.86091661857925E-4</v>
      </c>
      <c r="F9">
        <v>1.3820193582140401</v>
      </c>
      <c r="G9">
        <v>1.17898543365087E-3</v>
      </c>
      <c r="H9" s="7">
        <f t="shared" si="0"/>
        <v>1.0018467149465879</v>
      </c>
      <c r="I9">
        <f t="shared" si="1"/>
        <v>1.0698498708561776E-3</v>
      </c>
      <c r="K9"/>
      <c r="L9">
        <v>1.37951144335299</v>
      </c>
      <c r="M9">
        <v>9.6051663666235599E-4</v>
      </c>
      <c r="N9">
        <v>1.3801396333334499</v>
      </c>
      <c r="O9">
        <v>1.0536694518052999E-3</v>
      </c>
      <c r="P9" s="7">
        <f>N9/L9</f>
        <v>1.0004553713443167</v>
      </c>
      <c r="Q9">
        <f t="shared" si="2"/>
        <v>1.0337440128011612E-3</v>
      </c>
    </row>
    <row r="10" spans="1:17" x14ac:dyDescent="0.3">
      <c r="A10">
        <v>50</v>
      </c>
      <c r="B10" s="4"/>
      <c r="D10">
        <v>1.37231900559378</v>
      </c>
      <c r="E10">
        <v>9.8135892237590492E-4</v>
      </c>
      <c r="F10">
        <v>1.3754575654543499</v>
      </c>
      <c r="G10">
        <v>7.1929329253824501E-4</v>
      </c>
      <c r="H10" s="7">
        <f t="shared" si="0"/>
        <v>1.002287048308576</v>
      </c>
      <c r="I10">
        <f t="shared" si="1"/>
        <v>8.8794780325578441E-4</v>
      </c>
      <c r="J10" s="3"/>
      <c r="L10">
        <v>1.3703576195701299</v>
      </c>
      <c r="M10">
        <v>9.5714052610468097E-4</v>
      </c>
      <c r="N10">
        <v>1.3711659238629099</v>
      </c>
      <c r="O10">
        <v>7.5549871036543397E-4</v>
      </c>
      <c r="P10" s="7">
        <f>N10/L10</f>
        <v>1.0005898491614427</v>
      </c>
      <c r="Q10">
        <f t="shared" si="2"/>
        <v>8.901521419890664E-4</v>
      </c>
    </row>
    <row r="11" spans="1:17" s="3" customFormat="1" x14ac:dyDescent="0.3">
      <c r="A11">
        <v>75</v>
      </c>
      <c r="B11" s="4"/>
      <c r="C11"/>
      <c r="D11">
        <v>1.3652125452841399</v>
      </c>
      <c r="E11">
        <v>9.36891207849102E-4</v>
      </c>
      <c r="F11">
        <v>1.37040384545697</v>
      </c>
      <c r="G11">
        <v>1.1043763633645899E-3</v>
      </c>
      <c r="H11" s="7">
        <f t="shared" si="0"/>
        <v>1.0038025582102672</v>
      </c>
      <c r="I11">
        <f t="shared" si="1"/>
        <v>1.0625098571799413E-3</v>
      </c>
      <c r="K11"/>
      <c r="L11">
        <v>1.3619357177992399</v>
      </c>
      <c r="M11">
        <v>1.14642500606108E-3</v>
      </c>
      <c r="N11">
        <v>1.36351969550464</v>
      </c>
      <c r="O11">
        <v>1.0122047275674399E-3</v>
      </c>
      <c r="P11" s="7">
        <f>N11/L11</f>
        <v>1.0011630341173221</v>
      </c>
      <c r="Q11">
        <f t="shared" si="2"/>
        <v>1.1236427897777903E-3</v>
      </c>
    </row>
    <row r="12" spans="1:17" x14ac:dyDescent="0.3">
      <c r="A12">
        <v>100</v>
      </c>
      <c r="B12" s="4"/>
      <c r="D12">
        <v>1.35996558693921</v>
      </c>
      <c r="E12">
        <v>8.2269713778889005E-4</v>
      </c>
      <c r="F12">
        <v>1.3649754350071801</v>
      </c>
      <c r="G12">
        <v>1.0934621564654399E-3</v>
      </c>
      <c r="H12" s="7">
        <f t="shared" si="0"/>
        <v>1.0036838050286592</v>
      </c>
      <c r="I12">
        <f t="shared" si="1"/>
        <v>1.0075356465859516E-3</v>
      </c>
      <c r="J12" s="3"/>
      <c r="L12">
        <v>1.35524292294785</v>
      </c>
      <c r="M12">
        <v>9.843423979622231E-4</v>
      </c>
      <c r="N12">
        <v>1.35608844560886</v>
      </c>
      <c r="O12">
        <v>1.04376153989015E-3</v>
      </c>
      <c r="P12" s="7">
        <f>N12/L12</f>
        <v>1.0006238901134941</v>
      </c>
      <c r="Q12">
        <f t="shared" si="2"/>
        <v>1.0589413837370333E-3</v>
      </c>
    </row>
    <row r="13" spans="1:17" x14ac:dyDescent="0.3">
      <c r="A13">
        <v>150</v>
      </c>
      <c r="B13" s="4"/>
      <c r="D13">
        <v>1.3471169036955299</v>
      </c>
      <c r="E13">
        <v>3.4192473007070602E-3</v>
      </c>
      <c r="F13">
        <v>1.35044101904588</v>
      </c>
      <c r="G13">
        <v>3.6209913911154899E-3</v>
      </c>
      <c r="H13" s="7">
        <f t="shared" si="0"/>
        <v>1.002467577491776</v>
      </c>
      <c r="I13">
        <f t="shared" si="1"/>
        <v>3.7012678767904027E-3</v>
      </c>
      <c r="J13" s="3"/>
      <c r="L13">
        <v>1.3391565484202601</v>
      </c>
      <c r="M13">
        <v>3.4513629910370401E-3</v>
      </c>
      <c r="N13">
        <v>1.3448593643039499</v>
      </c>
      <c r="O13">
        <v>3.5460245721196499E-3</v>
      </c>
      <c r="P13" s="7">
        <f>N13/L13</f>
        <v>1.0042585132338837</v>
      </c>
      <c r="Q13">
        <f t="shared" si="2"/>
        <v>3.7027899524461018E-3</v>
      </c>
    </row>
    <row r="14" spans="1:17" s="3" customFormat="1" x14ac:dyDescent="0.3">
      <c r="A14">
        <v>250</v>
      </c>
      <c r="B14" s="4"/>
      <c r="C14"/>
      <c r="D14">
        <v>1.3301704109246899</v>
      </c>
      <c r="E14">
        <v>2.6701333301032298E-3</v>
      </c>
      <c r="F14">
        <v>1.3309639224463901</v>
      </c>
      <c r="G14">
        <v>2.6466416072152398E-3</v>
      </c>
      <c r="H14" s="7">
        <f t="shared" si="0"/>
        <v>1.000596548769378</v>
      </c>
      <c r="I14">
        <f t="shared" si="1"/>
        <v>2.8272285541985462E-3</v>
      </c>
      <c r="K14"/>
      <c r="L14">
        <v>1.3112710657587101</v>
      </c>
      <c r="M14">
        <v>2.67520556095646E-3</v>
      </c>
      <c r="N14">
        <v>1.3096995917960299</v>
      </c>
      <c r="O14">
        <v>2.9409916078694401E-3</v>
      </c>
      <c r="P14" s="7">
        <f>N14/L14</f>
        <v>0.99880156437237411</v>
      </c>
      <c r="Q14">
        <f t="shared" si="2"/>
        <v>3.030295719604469E-3</v>
      </c>
    </row>
    <row r="15" spans="1:17" x14ac:dyDescent="0.3">
      <c r="A15">
        <v>500</v>
      </c>
      <c r="B15" s="4"/>
      <c r="D15">
        <v>1.2881810524951001</v>
      </c>
      <c r="E15">
        <v>2.82817615567389E-3</v>
      </c>
      <c r="F15">
        <v>1.2901507582212099</v>
      </c>
      <c r="G15">
        <v>3.6382982434454399E-3</v>
      </c>
      <c r="H15" s="7">
        <f t="shared" si="0"/>
        <v>1.0015290596941282</v>
      </c>
      <c r="I15">
        <f t="shared" si="1"/>
        <v>3.579377630249193E-3</v>
      </c>
      <c r="J15" s="3"/>
      <c r="L15">
        <v>1.2563576950633499</v>
      </c>
      <c r="M15">
        <v>2.5050181564410701E-3</v>
      </c>
      <c r="N15">
        <v>1.2497624884637799</v>
      </c>
      <c r="O15">
        <v>2.6845051290129399E-3</v>
      </c>
      <c r="P15" s="7">
        <f>N15/L15</f>
        <v>0.99475053432196514</v>
      </c>
      <c r="Q15">
        <f t="shared" si="2"/>
        <v>2.9153977252420692E-3</v>
      </c>
    </row>
    <row r="16" spans="1:17" s="3" customFormat="1" x14ac:dyDescent="0.3">
      <c r="A16">
        <v>750</v>
      </c>
      <c r="B16" s="4"/>
      <c r="C16"/>
      <c r="D16">
        <v>1.24999214529804</v>
      </c>
      <c r="E16">
        <v>2.36320017159778E-3</v>
      </c>
      <c r="F16">
        <v>1.2537253487050199</v>
      </c>
      <c r="G16">
        <v>3.5797440463882701E-3</v>
      </c>
      <c r="H16" s="7">
        <f t="shared" si="0"/>
        <v>1.0029865814925498</v>
      </c>
      <c r="I16">
        <f t="shared" si="1"/>
        <v>3.4346863492251559E-3</v>
      </c>
      <c r="K16"/>
      <c r="L16">
        <v>1.20021968581256</v>
      </c>
      <c r="M16">
        <v>2.9794094197858E-3</v>
      </c>
      <c r="N16">
        <v>1.20221749175355</v>
      </c>
      <c r="O16">
        <v>2.7545952721865301E-3</v>
      </c>
      <c r="P16" s="7">
        <f>N16/L16</f>
        <v>1.0016645335554861</v>
      </c>
      <c r="Q16">
        <f t="shared" si="2"/>
        <v>3.3838068565250718E-3</v>
      </c>
    </row>
    <row r="17" spans="1:17" x14ac:dyDescent="0.3">
      <c r="A17">
        <v>999.99</v>
      </c>
      <c r="B17" s="4"/>
      <c r="D17">
        <v>1.2159170927577201</v>
      </c>
      <c r="E17">
        <v>3.1109769949112399E-3</v>
      </c>
      <c r="F17">
        <v>1.2163442531022399</v>
      </c>
      <c r="G17">
        <v>3.18424238805618E-3</v>
      </c>
      <c r="H17" s="7">
        <f t="shared" si="0"/>
        <v>1.0003513071302839</v>
      </c>
      <c r="I17">
        <f>H17*((E17/D17)^2 +(G17/F17)^2)^0.5</f>
        <v>3.6618101886275135E-3</v>
      </c>
      <c r="J17" s="3"/>
      <c r="L17">
        <v>1.1566240021210601</v>
      </c>
      <c r="M17">
        <v>2.5884299434418999E-3</v>
      </c>
      <c r="N17">
        <v>1.1524770375920901</v>
      </c>
      <c r="O17">
        <v>3.9762001692155704E-3</v>
      </c>
      <c r="P17" s="7">
        <f>N17/L17</f>
        <v>0.99641459582252734</v>
      </c>
      <c r="Q17">
        <f>P17*((M17/L17)^2 +(O17/N17)^2)^0.5</f>
        <v>4.0976394678384738E-3</v>
      </c>
    </row>
    <row r="21" spans="1:17" x14ac:dyDescent="0.3">
      <c r="C21" s="9" t="s">
        <v>5</v>
      </c>
      <c r="D21" s="9"/>
      <c r="E21" s="9"/>
      <c r="F21" s="10"/>
      <c r="G21" s="10"/>
      <c r="H21" s="10"/>
      <c r="I21" s="10"/>
      <c r="K21" s="2"/>
      <c r="L21" s="2"/>
      <c r="M21" s="2"/>
      <c r="N21" s="2"/>
    </row>
    <row r="22" spans="1:17" x14ac:dyDescent="0.3">
      <c r="C22" s="14" t="s">
        <v>4</v>
      </c>
      <c r="D22" s="14"/>
      <c r="E22" s="14"/>
      <c r="F22" s="15"/>
      <c r="G22" s="15"/>
      <c r="H22" s="15"/>
      <c r="I22" s="14"/>
      <c r="K22" s="17" t="s">
        <v>3</v>
      </c>
      <c r="L22" s="17"/>
      <c r="M22" s="18"/>
      <c r="N22" s="18"/>
      <c r="O22" s="17"/>
      <c r="P22" s="17"/>
      <c r="Q22" s="17"/>
    </row>
    <row r="23" spans="1:17" x14ac:dyDescent="0.3">
      <c r="A23" s="5" t="s">
        <v>0</v>
      </c>
      <c r="B23" s="5"/>
      <c r="C23" s="15" t="s">
        <v>1</v>
      </c>
      <c r="D23" s="15" t="s">
        <v>8</v>
      </c>
      <c r="E23" s="15" t="s">
        <v>9</v>
      </c>
      <c r="F23" s="15" t="s">
        <v>10</v>
      </c>
      <c r="G23" s="15" t="s">
        <v>11</v>
      </c>
      <c r="H23" s="16" t="s">
        <v>6</v>
      </c>
      <c r="I23" s="16" t="s">
        <v>12</v>
      </c>
      <c r="J23" s="6"/>
      <c r="K23" s="18" t="s">
        <v>1</v>
      </c>
      <c r="L23" s="18" t="s">
        <v>8</v>
      </c>
      <c r="M23" s="18" t="s">
        <v>9</v>
      </c>
      <c r="N23" s="18" t="s">
        <v>10</v>
      </c>
      <c r="O23" s="18" t="s">
        <v>11</v>
      </c>
      <c r="P23" s="19" t="s">
        <v>6</v>
      </c>
      <c r="Q23" s="19" t="s">
        <v>12</v>
      </c>
    </row>
    <row r="24" spans="1:17" x14ac:dyDescent="0.3">
      <c r="A24">
        <v>0.1</v>
      </c>
      <c r="B24" s="4"/>
      <c r="C24" s="2"/>
      <c r="D24" s="2">
        <v>3.4601339198647797E-5</v>
      </c>
      <c r="E24" s="2">
        <v>1.22883732368375E-8</v>
      </c>
      <c r="F24" s="2">
        <v>2.3188386654289999E-5</v>
      </c>
      <c r="G24" s="2">
        <v>2.5713213345718999E-7</v>
      </c>
      <c r="H24" s="13">
        <f t="shared" ref="H24:H36" si="3">F24/D24</f>
        <v>0.67015864678428949</v>
      </c>
      <c r="I24">
        <f>H24*((E24/D24)^2 +(G24/F24)^2)^0.5</f>
        <v>7.4350871718769813E-3</v>
      </c>
      <c r="J24" s="3"/>
      <c r="K24" s="2"/>
      <c r="L24" s="2">
        <v>3.0213736630210799E-5</v>
      </c>
      <c r="M24" s="2">
        <v>6.2814290600429797E-9</v>
      </c>
      <c r="N24" s="2">
        <v>2.5899175434190999E-5</v>
      </c>
      <c r="O24" s="2">
        <v>2.22045923443069E-7</v>
      </c>
      <c r="P24" s="7">
        <f>N24/L24</f>
        <v>0.85719868916492581</v>
      </c>
      <c r="Q24">
        <f>P24*((M24/L24)^2 +(O24/N24)^2)^0.5</f>
        <v>7.3513316350502867E-3</v>
      </c>
    </row>
    <row r="25" spans="1:17" x14ac:dyDescent="0.3">
      <c r="A25">
        <v>0.5</v>
      </c>
      <c r="B25" s="4"/>
      <c r="D25">
        <v>1.7267075850167999E-4</v>
      </c>
      <c r="E25" s="2">
        <v>7.3730405114227898E-8</v>
      </c>
      <c r="F25">
        <v>1.16379113471186E-4</v>
      </c>
      <c r="G25" s="2">
        <v>4.9685826902563597E-7</v>
      </c>
      <c r="H25" s="13">
        <f t="shared" si="3"/>
        <v>0.67399433743759052</v>
      </c>
      <c r="I25">
        <f t="shared" ref="I25:I35" si="4">H25*((E25/D25)^2 +(G25/F25)^2)^0.5</f>
        <v>2.8918456475792078E-3</v>
      </c>
      <c r="J25" s="3"/>
      <c r="L25">
        <v>1.50989540407932E-4</v>
      </c>
      <c r="M25" s="2">
        <v>4.1276616778068897E-8</v>
      </c>
      <c r="N25">
        <v>1.3026224043386099E-4</v>
      </c>
      <c r="O25" s="2">
        <v>5.73466194555137E-7</v>
      </c>
      <c r="P25" s="7">
        <f>N25/L25</f>
        <v>0.86272360378029123</v>
      </c>
      <c r="Q25">
        <f t="shared" ref="Q25:Q35" si="5">P25*((M25/L25)^2 +(O25/N25)^2)^0.5</f>
        <v>3.8053680353437123E-3</v>
      </c>
    </row>
    <row r="26" spans="1:17" x14ac:dyDescent="0.3">
      <c r="A26">
        <v>1</v>
      </c>
      <c r="B26" s="4"/>
      <c r="D26">
        <v>3.4444202449192702E-4</v>
      </c>
      <c r="E26" s="2">
        <v>1.02701859340892E-7</v>
      </c>
      <c r="F26">
        <v>2.31665379952172E-4</v>
      </c>
      <c r="G26" s="2">
        <v>6.9232886194979901E-7</v>
      </c>
      <c r="H26" s="13">
        <f t="shared" si="3"/>
        <v>0.67258163487423628</v>
      </c>
      <c r="I26">
        <f t="shared" si="4"/>
        <v>2.0199806972425911E-3</v>
      </c>
      <c r="J26" s="3"/>
      <c r="L26">
        <v>3.0170617519809301E-4</v>
      </c>
      <c r="M26" s="2">
        <v>8.1667143013063195E-8</v>
      </c>
      <c r="N26">
        <v>2.6089565621297098E-4</v>
      </c>
      <c r="O26" s="2">
        <v>6.2257504496774401E-7</v>
      </c>
      <c r="P26" s="7">
        <f>N26/L26</f>
        <v>0.86473422707265823</v>
      </c>
      <c r="Q26">
        <f t="shared" si="5"/>
        <v>2.0767475932791379E-3</v>
      </c>
    </row>
    <row r="27" spans="1:17" x14ac:dyDescent="0.3">
      <c r="A27">
        <v>10</v>
      </c>
      <c r="B27" s="4"/>
      <c r="D27">
        <v>3.33054467027722E-3</v>
      </c>
      <c r="E27" s="2">
        <v>3.1023196230951202E-6</v>
      </c>
      <c r="F27">
        <v>2.3274949085023899E-3</v>
      </c>
      <c r="G27" s="2">
        <v>7.3576810457546899E-6</v>
      </c>
      <c r="H27" s="13">
        <f t="shared" si="3"/>
        <v>0.69883311557825745</v>
      </c>
      <c r="I27">
        <f t="shared" si="4"/>
        <v>2.3030599218682355E-3</v>
      </c>
      <c r="J27" s="3"/>
      <c r="L27">
        <v>2.97750983471892E-3</v>
      </c>
      <c r="M27" s="2">
        <v>2.7512545520394498E-6</v>
      </c>
      <c r="N27">
        <v>2.5949076799098498E-3</v>
      </c>
      <c r="O27" s="2">
        <v>5.6804576370084801E-6</v>
      </c>
      <c r="P27" s="7">
        <f>N27/L27</f>
        <v>0.87150263943790185</v>
      </c>
      <c r="Q27">
        <f t="shared" si="5"/>
        <v>2.0707798442735998E-3</v>
      </c>
    </row>
    <row r="28" spans="1:17" x14ac:dyDescent="0.3">
      <c r="A28">
        <v>25</v>
      </c>
      <c r="B28" s="4"/>
      <c r="D28">
        <v>7.9007108136224906E-3</v>
      </c>
      <c r="E28" s="2">
        <v>2.1579374269995798E-5</v>
      </c>
      <c r="F28">
        <v>5.7868683352336496E-3</v>
      </c>
      <c r="G28" s="2">
        <v>2.2153397083295701E-5</v>
      </c>
      <c r="H28" s="13">
        <f t="shared" si="3"/>
        <v>0.73244907600666376</v>
      </c>
      <c r="I28">
        <f t="shared" si="4"/>
        <v>3.444486925796071E-3</v>
      </c>
      <c r="J28" s="3"/>
      <c r="L28">
        <v>7.2854691465075302E-3</v>
      </c>
      <c r="M28" s="2">
        <v>1.0595331155121401E-5</v>
      </c>
      <c r="N28">
        <v>6.4419405380797103E-3</v>
      </c>
      <c r="O28" s="2">
        <v>3.0640812604159097E-5</v>
      </c>
      <c r="P28" s="7">
        <f>N28/L28</f>
        <v>0.8842176678721938</v>
      </c>
      <c r="Q28">
        <f t="shared" si="5"/>
        <v>4.3979408323316831E-3</v>
      </c>
    </row>
    <row r="29" spans="1:17" x14ac:dyDescent="0.3">
      <c r="A29">
        <v>50</v>
      </c>
      <c r="B29" s="4"/>
      <c r="D29">
        <v>1.48099690035684E-2</v>
      </c>
      <c r="E29" s="2">
        <v>3.5619384608241799E-5</v>
      </c>
      <c r="F29">
        <v>1.1357972286110201E-2</v>
      </c>
      <c r="G29" s="2">
        <v>3.9960656049596501E-5</v>
      </c>
      <c r="H29" s="13">
        <f t="shared" si="3"/>
        <v>0.76691398093902452</v>
      </c>
      <c r="I29">
        <f t="shared" si="4"/>
        <v>3.2684265997479276E-3</v>
      </c>
      <c r="J29" s="3"/>
      <c r="L29">
        <v>1.4085686693042001E-2</v>
      </c>
      <c r="M29" s="2">
        <v>2.6440325603855101E-5</v>
      </c>
      <c r="N29">
        <v>1.26690225425122E-2</v>
      </c>
      <c r="O29" s="2">
        <v>3.9839492384589098E-5</v>
      </c>
      <c r="P29" s="7">
        <f>N29/L29</f>
        <v>0.89942526896969821</v>
      </c>
      <c r="Q29">
        <f t="shared" si="5"/>
        <v>3.2939448706370833E-3</v>
      </c>
    </row>
    <row r="30" spans="1:17" x14ac:dyDescent="0.3">
      <c r="A30">
        <v>75</v>
      </c>
      <c r="B30" s="4"/>
      <c r="D30">
        <v>2.1060130702738999E-2</v>
      </c>
      <c r="E30" s="2">
        <v>3.0830038687911403E-5</v>
      </c>
      <c r="F30">
        <v>1.6724313084056999E-2</v>
      </c>
      <c r="G30" s="2">
        <v>4.6773312275541899E-5</v>
      </c>
      <c r="H30" s="13">
        <f t="shared" si="3"/>
        <v>0.79412199858198884</v>
      </c>
      <c r="I30">
        <f t="shared" si="4"/>
        <v>2.506797039006772E-3</v>
      </c>
      <c r="J30" s="3"/>
      <c r="L30">
        <v>2.04540679886334E-2</v>
      </c>
      <c r="M30" s="2">
        <v>4.0017362438723199E-5</v>
      </c>
      <c r="N30">
        <v>1.8873120984925901E-2</v>
      </c>
      <c r="O30" s="2">
        <v>3.9932428547215201E-5</v>
      </c>
      <c r="P30" s="7">
        <f>N30/L30</f>
        <v>0.92270745337377136</v>
      </c>
      <c r="Q30">
        <f t="shared" si="5"/>
        <v>2.6590083093148533E-3</v>
      </c>
    </row>
    <row r="31" spans="1:17" x14ac:dyDescent="0.3">
      <c r="A31">
        <v>100</v>
      </c>
      <c r="B31" s="4"/>
      <c r="D31">
        <v>2.67600755292417E-2</v>
      </c>
      <c r="E31" s="2">
        <v>6.1301138330409899E-5</v>
      </c>
      <c r="F31">
        <v>2.2149757308928399E-2</v>
      </c>
      <c r="G31" s="2">
        <v>5.1020148947823797E-5</v>
      </c>
      <c r="H31" s="13">
        <f t="shared" si="3"/>
        <v>0.82771654679092965</v>
      </c>
      <c r="I31">
        <f t="shared" si="4"/>
        <v>2.6889139523652702E-3</v>
      </c>
      <c r="J31" s="3"/>
      <c r="L31">
        <v>2.6686341725694201E-2</v>
      </c>
      <c r="M31" s="2">
        <v>4.6488373284998899E-5</v>
      </c>
      <c r="N31">
        <v>2.4681477633588599E-2</v>
      </c>
      <c r="O31" s="2">
        <v>4.3554638662226E-5</v>
      </c>
      <c r="P31" s="7">
        <f>N31/L31</f>
        <v>0.92487302633259483</v>
      </c>
      <c r="Q31">
        <f t="shared" si="5"/>
        <v>2.2933719536386309E-3</v>
      </c>
    </row>
    <row r="32" spans="1:17" x14ac:dyDescent="0.3">
      <c r="A32">
        <v>150</v>
      </c>
      <c r="B32" s="4"/>
      <c r="D32">
        <v>3.6782709718709998E-2</v>
      </c>
      <c r="E32">
        <v>1.97489580151579E-4</v>
      </c>
      <c r="F32">
        <v>3.2103137598192298E-2</v>
      </c>
      <c r="G32">
        <v>2.08831333646651E-4</v>
      </c>
      <c r="H32" s="13">
        <f t="shared" si="3"/>
        <v>0.87277793951821403</v>
      </c>
      <c r="I32">
        <f t="shared" si="4"/>
        <v>7.3615233968889766E-3</v>
      </c>
      <c r="J32" s="3"/>
      <c r="L32">
        <v>3.7924637387248702E-2</v>
      </c>
      <c r="M32">
        <v>1.8428567575269999E-4</v>
      </c>
      <c r="N32">
        <v>3.6134840661020101E-2</v>
      </c>
      <c r="O32">
        <v>2.42482884021072E-4</v>
      </c>
      <c r="P32" s="7">
        <f>N32/L32</f>
        <v>0.95280649072651702</v>
      </c>
      <c r="Q32">
        <f t="shared" si="5"/>
        <v>7.8941171734471308E-3</v>
      </c>
    </row>
    <row r="33" spans="1:17" x14ac:dyDescent="0.3">
      <c r="A33">
        <v>250</v>
      </c>
      <c r="B33" s="4"/>
      <c r="D33">
        <v>5.6309750104400702E-2</v>
      </c>
      <c r="E33">
        <v>2.51687827781958E-4</v>
      </c>
      <c r="F33">
        <v>5.1114734736025402E-2</v>
      </c>
      <c r="G33">
        <v>2.8833834514146198E-4</v>
      </c>
      <c r="H33" s="13">
        <f t="shared" si="3"/>
        <v>0.90774216971761523</v>
      </c>
      <c r="I33">
        <f t="shared" si="4"/>
        <v>6.5331679556135417E-3</v>
      </c>
      <c r="J33" s="3"/>
      <c r="L33">
        <v>5.9331126295057199E-2</v>
      </c>
      <c r="M33">
        <v>2.7677924057614001E-4</v>
      </c>
      <c r="N33">
        <v>5.7361502212218099E-2</v>
      </c>
      <c r="O33">
        <v>2.3849126374357799E-4</v>
      </c>
      <c r="P33" s="7">
        <f>N33/L33</f>
        <v>0.96680285364811647</v>
      </c>
      <c r="Q33">
        <f t="shared" si="5"/>
        <v>6.041436975368881E-3</v>
      </c>
    </row>
    <row r="34" spans="1:17" x14ac:dyDescent="0.3">
      <c r="A34">
        <v>500</v>
      </c>
      <c r="B34" s="4"/>
      <c r="D34">
        <v>9.4384365104793602E-2</v>
      </c>
      <c r="E34">
        <v>3.7802904257795602E-4</v>
      </c>
      <c r="F34">
        <v>9.1445222619505398E-2</v>
      </c>
      <c r="G34">
        <v>4.4906828447954003E-4</v>
      </c>
      <c r="H34" s="13">
        <f t="shared" si="3"/>
        <v>0.96885985849430767</v>
      </c>
      <c r="I34">
        <f t="shared" si="4"/>
        <v>6.1396636178584303E-3</v>
      </c>
      <c r="J34" s="3"/>
      <c r="L34">
        <v>0.102482458976092</v>
      </c>
      <c r="M34">
        <v>2.9595828587883197E-4</v>
      </c>
      <c r="N34">
        <v>0.102092586065974</v>
      </c>
      <c r="O34">
        <v>4.88706826404386E-4</v>
      </c>
      <c r="P34" s="7">
        <f>N34/L34</f>
        <v>0.996195710817117</v>
      </c>
      <c r="Q34">
        <f t="shared" si="5"/>
        <v>5.5692878927237057E-3</v>
      </c>
    </row>
    <row r="35" spans="1:17" x14ac:dyDescent="0.3">
      <c r="A35">
        <v>750</v>
      </c>
      <c r="B35" s="4"/>
      <c r="D35">
        <v>0.12681392305883499</v>
      </c>
      <c r="E35">
        <v>3.7117560576619898E-4</v>
      </c>
      <c r="F35">
        <v>0.12725844081883</v>
      </c>
      <c r="G35">
        <v>3.9277512684765298E-4</v>
      </c>
      <c r="H35" s="13">
        <f t="shared" si="3"/>
        <v>1.0035052756769365</v>
      </c>
      <c r="I35">
        <f t="shared" si="4"/>
        <v>4.2684987159538603E-3</v>
      </c>
      <c r="J35" s="3"/>
      <c r="L35">
        <v>0.13877899849488601</v>
      </c>
      <c r="M35">
        <v>4.2009114228035198E-4</v>
      </c>
      <c r="N35">
        <v>0.14105605143254499</v>
      </c>
      <c r="O35">
        <v>6.4618904182841804E-4</v>
      </c>
      <c r="P35" s="7">
        <f>N35/L35</f>
        <v>1.0164077631511579</v>
      </c>
      <c r="Q35">
        <f t="shared" si="5"/>
        <v>5.5809331857695158E-3</v>
      </c>
    </row>
    <row r="36" spans="1:17" x14ac:dyDescent="0.3">
      <c r="A36">
        <v>999.99</v>
      </c>
      <c r="B36" s="4"/>
      <c r="D36">
        <v>0.15510900896549801</v>
      </c>
      <c r="E36">
        <v>5.7851797067085496E-4</v>
      </c>
      <c r="F36">
        <v>0.157583868759714</v>
      </c>
      <c r="G36">
        <v>5.8700051779191705E-4</v>
      </c>
      <c r="H36" s="13">
        <f t="shared" si="3"/>
        <v>1.0159556160581653</v>
      </c>
      <c r="I36">
        <f>H36*((E36/D36)^2 +(G36/F36)^2)^0.5</f>
        <v>5.3554157048239367E-3</v>
      </c>
      <c r="J36" s="3"/>
      <c r="L36">
        <v>0.16969831628755799</v>
      </c>
      <c r="M36">
        <v>6.3046734962274005E-4</v>
      </c>
      <c r="N36">
        <v>0.17395996323018501</v>
      </c>
      <c r="O36">
        <v>7.9326262337449101E-4</v>
      </c>
      <c r="P36" s="7">
        <f>N36/L36</f>
        <v>1.025113077347247</v>
      </c>
      <c r="Q36">
        <f>P36*((M36/L36)^2 +(O36/N36)^2)^0.5</f>
        <v>6.0296141732043276E-3</v>
      </c>
    </row>
    <row r="40" spans="1:17" x14ac:dyDescent="0.3">
      <c r="C40" s="1" t="s">
        <v>7</v>
      </c>
    </row>
    <row r="41" spans="1:17" x14ac:dyDescent="0.3">
      <c r="C41" s="11" t="s">
        <v>2</v>
      </c>
      <c r="D41" s="11"/>
      <c r="E41" s="11"/>
      <c r="F41" s="12"/>
      <c r="G41" s="12"/>
      <c r="H41" s="12"/>
      <c r="K41" s="2"/>
      <c r="L41" s="2"/>
      <c r="M41" s="2"/>
      <c r="N41" s="2"/>
    </row>
    <row r="42" spans="1:17" x14ac:dyDescent="0.3">
      <c r="C42" s="14" t="s">
        <v>4</v>
      </c>
      <c r="D42" s="14"/>
      <c r="E42" s="14"/>
      <c r="F42" s="15"/>
      <c r="G42" s="15"/>
      <c r="H42" s="15"/>
      <c r="I42" s="14"/>
      <c r="K42" s="17" t="s">
        <v>3</v>
      </c>
      <c r="L42" s="17"/>
      <c r="M42" s="18"/>
      <c r="N42" s="18"/>
      <c r="O42" s="17"/>
      <c r="P42" s="17"/>
      <c r="Q42" s="17"/>
    </row>
    <row r="43" spans="1:17" x14ac:dyDescent="0.3">
      <c r="A43" s="5" t="s">
        <v>0</v>
      </c>
      <c r="B43" s="5"/>
      <c r="C43" s="15" t="s">
        <v>1</v>
      </c>
      <c r="D43" s="15" t="s">
        <v>8</v>
      </c>
      <c r="E43" s="15" t="s">
        <v>9</v>
      </c>
      <c r="F43" s="15" t="s">
        <v>10</v>
      </c>
      <c r="G43" s="15" t="s">
        <v>11</v>
      </c>
      <c r="H43" s="16" t="s">
        <v>6</v>
      </c>
      <c r="I43" s="16" t="s">
        <v>12</v>
      </c>
      <c r="J43" s="6"/>
      <c r="K43" s="18" t="s">
        <v>1</v>
      </c>
      <c r="L43" s="18" t="s">
        <v>8</v>
      </c>
      <c r="M43" s="18" t="s">
        <v>9</v>
      </c>
      <c r="N43" s="18" t="s">
        <v>10</v>
      </c>
      <c r="O43" s="18" t="s">
        <v>11</v>
      </c>
      <c r="P43" s="19" t="s">
        <v>6</v>
      </c>
      <c r="Q43" s="19" t="s">
        <v>12</v>
      </c>
    </row>
    <row r="44" spans="1:17" x14ac:dyDescent="0.3">
      <c r="A44">
        <v>0.1</v>
      </c>
      <c r="B44" s="4"/>
      <c r="D44" s="20">
        <v>1.33146077610654</v>
      </c>
      <c r="E44" s="20">
        <v>1.29791278993871E-2</v>
      </c>
      <c r="F44">
        <v>1.33536898944584</v>
      </c>
      <c r="G44">
        <v>1.25080703731084E-4</v>
      </c>
      <c r="H44" s="7">
        <f>F44/D44</f>
        <v>1.0029352823676327</v>
      </c>
      <c r="I44">
        <f>H44*((E44/D44)^2 +(G44/F44)^2)^0.5</f>
        <v>9.7771008098175641E-3</v>
      </c>
      <c r="J44" s="3"/>
      <c r="L44">
        <v>1.3352318967644701</v>
      </c>
      <c r="M44" s="2">
        <v>9.7356481692860994E-5</v>
      </c>
      <c r="P44" s="7">
        <f>N44/L44</f>
        <v>0</v>
      </c>
      <c r="Q44" t="e">
        <f>P44*((M44/L44)^2 +(O44/N44)^2)^0.5</f>
        <v>#DIV/0!</v>
      </c>
    </row>
    <row r="45" spans="1:17" x14ac:dyDescent="0.3">
      <c r="A45">
        <v>0.5</v>
      </c>
      <c r="B45" s="4"/>
      <c r="D45" s="20">
        <v>1.35765661048369</v>
      </c>
      <c r="E45" s="20">
        <v>1.33833833770021E-2</v>
      </c>
      <c r="F45">
        <v>1.3335516984153499</v>
      </c>
      <c r="G45" s="2">
        <v>9.8571452316726502E-5</v>
      </c>
      <c r="H45" s="7">
        <f>F45/D45</f>
        <v>0.98224520701169626</v>
      </c>
      <c r="I45">
        <f t="shared" ref="I45:I55" si="6">H45*((E45/D45)^2 +(G45/F45)^2)^0.5</f>
        <v>9.6829593214113503E-3</v>
      </c>
      <c r="J45" s="3"/>
      <c r="K45" s="3"/>
      <c r="L45">
        <v>1.33328060850382</v>
      </c>
      <c r="M45">
        <v>1.11744636942801E-4</v>
      </c>
      <c r="N45">
        <v>1.33349654821898</v>
      </c>
      <c r="O45" s="2">
        <v>9.9388022927045995E-5</v>
      </c>
      <c r="P45" s="8">
        <f>N45/L45</f>
        <v>1.0001619611909021</v>
      </c>
      <c r="Q45">
        <f t="shared" ref="Q45:Q55" si="7">P45*((M45/L45)^2 +(O45/N45)^2)^0.5</f>
        <v>1.1217617716941135E-4</v>
      </c>
    </row>
    <row r="46" spans="1:17" x14ac:dyDescent="0.3">
      <c r="A46">
        <v>1</v>
      </c>
      <c r="B46" s="4"/>
      <c r="D46" s="20">
        <v>1.33903476392587</v>
      </c>
      <c r="E46" s="20">
        <v>1.09198789595156E-2</v>
      </c>
      <c r="F46">
        <v>1.33280976817106</v>
      </c>
      <c r="G46">
        <v>1.10318157044691E-4</v>
      </c>
      <c r="H46" s="7">
        <f>F46/D46</f>
        <v>0.99535113208221782</v>
      </c>
      <c r="I46">
        <f t="shared" si="6"/>
        <v>8.1175440777359244E-3</v>
      </c>
      <c r="J46" s="3"/>
      <c r="L46">
        <v>1.3325160160175999</v>
      </c>
      <c r="M46">
        <v>1.2990361944337101E-4</v>
      </c>
      <c r="N46">
        <v>1.3326689845730799</v>
      </c>
      <c r="O46">
        <v>1.0526827110579401E-4</v>
      </c>
      <c r="P46" s="7">
        <f>N46/L46</f>
        <v>1.0001147967856605</v>
      </c>
      <c r="Q46">
        <f t="shared" si="7"/>
        <v>1.2548677612360951E-4</v>
      </c>
    </row>
    <row r="47" spans="1:17" x14ac:dyDescent="0.3">
      <c r="A47">
        <v>10</v>
      </c>
      <c r="B47" s="4"/>
      <c r="D47" s="20">
        <v>1.31789010731641</v>
      </c>
      <c r="E47" s="20">
        <v>1.2370870755455E-2</v>
      </c>
      <c r="F47">
        <v>1.33006735676433</v>
      </c>
      <c r="G47">
        <v>4.3462506631634999E-4</v>
      </c>
      <c r="H47" s="7">
        <f>F47/D47</f>
        <v>1.009239958157601</v>
      </c>
      <c r="I47">
        <f t="shared" si="6"/>
        <v>9.4793485833704651E-3</v>
      </c>
      <c r="J47" s="3"/>
      <c r="K47" s="3"/>
      <c r="L47">
        <v>1.32875591199513</v>
      </c>
      <c r="M47">
        <v>3.6656386812860002E-4</v>
      </c>
      <c r="N47">
        <v>1.3283935226396499</v>
      </c>
      <c r="O47">
        <v>4.6050432456435497E-4</v>
      </c>
      <c r="P47" s="8">
        <f>N47/L47</f>
        <v>0.99972727168909759</v>
      </c>
      <c r="Q47">
        <f t="shared" si="7"/>
        <v>4.4291324537064109E-4</v>
      </c>
    </row>
    <row r="48" spans="1:17" x14ac:dyDescent="0.3">
      <c r="A48">
        <v>25</v>
      </c>
      <c r="B48" s="4"/>
      <c r="D48" s="20">
        <v>1.32036564820574</v>
      </c>
      <c r="E48" s="20">
        <v>1.3456104516294001E-2</v>
      </c>
      <c r="F48">
        <v>1.32879638765109</v>
      </c>
      <c r="G48">
        <v>1.0451282524601201E-3</v>
      </c>
      <c r="H48" s="7">
        <f>F48/D48</f>
        <v>1.0063851550945806</v>
      </c>
      <c r="I48">
        <f t="shared" si="6"/>
        <v>1.028676695047087E-2</v>
      </c>
      <c r="J48" s="3"/>
      <c r="L48">
        <v>1.3245110745965301</v>
      </c>
      <c r="M48">
        <v>6.3753145972632905E-4</v>
      </c>
      <c r="N48">
        <v>1.32578542353965</v>
      </c>
      <c r="O48">
        <v>1.0645660109259701E-3</v>
      </c>
      <c r="P48" s="7">
        <f>N48/L48</f>
        <v>1.0009621278127161</v>
      </c>
      <c r="Q48">
        <f t="shared" si="7"/>
        <v>9.3708596837583497E-4</v>
      </c>
    </row>
    <row r="49" spans="1:17" x14ac:dyDescent="0.3">
      <c r="A49">
        <v>50</v>
      </c>
      <c r="B49" s="4"/>
      <c r="D49" s="20">
        <v>1.3197738196808499</v>
      </c>
      <c r="E49" s="20">
        <v>1.08550142358942E-2</v>
      </c>
      <c r="F49">
        <v>1.32593816850222</v>
      </c>
      <c r="G49">
        <v>9.7502159311734795E-4</v>
      </c>
      <c r="H49" s="7">
        <f>F49/D49</f>
        <v>1.0046707615573558</v>
      </c>
      <c r="I49">
        <f t="shared" si="6"/>
        <v>8.296280948766499E-3</v>
      </c>
      <c r="J49" s="3"/>
      <c r="K49" s="3"/>
      <c r="L49">
        <v>1.3197871026024</v>
      </c>
      <c r="M49">
        <v>8.8312138374329295E-4</v>
      </c>
      <c r="N49">
        <v>1.3193357094999201</v>
      </c>
      <c r="O49">
        <v>9.5862687561023305E-4</v>
      </c>
      <c r="P49" s="8">
        <f>N49/L49</f>
        <v>0.99965798036547726</v>
      </c>
      <c r="Q49">
        <f t="shared" si="7"/>
        <v>9.874335070433548E-4</v>
      </c>
    </row>
    <row r="50" spans="1:17" x14ac:dyDescent="0.3">
      <c r="A50">
        <v>75</v>
      </c>
      <c r="B50" s="4"/>
      <c r="D50" s="20">
        <v>1.29935652652886</v>
      </c>
      <c r="E50" s="20">
        <v>1.1974083384246499E-2</v>
      </c>
      <c r="H50" s="7">
        <f>F50/D50</f>
        <v>0</v>
      </c>
      <c r="I50" t="e">
        <f t="shared" si="6"/>
        <v>#DIV/0!</v>
      </c>
      <c r="J50" s="3"/>
      <c r="L50">
        <v>1.31486593414251</v>
      </c>
      <c r="M50">
        <v>8.9177056244582901E-4</v>
      </c>
      <c r="N50">
        <v>1.31129753244608</v>
      </c>
      <c r="O50">
        <v>7.8150296279425404E-4</v>
      </c>
      <c r="P50" s="7">
        <f>N50/L50</f>
        <v>0.99728610985822141</v>
      </c>
      <c r="Q50">
        <f t="shared" si="7"/>
        <v>9.004190394956773E-4</v>
      </c>
    </row>
    <row r="51" spans="1:17" x14ac:dyDescent="0.3">
      <c r="A51">
        <v>100</v>
      </c>
      <c r="B51" s="4"/>
      <c r="D51" s="20">
        <v>1.33910590256307</v>
      </c>
      <c r="E51" s="20">
        <v>1.23393298512987E-2</v>
      </c>
      <c r="H51" s="7">
        <f>F51/D51</f>
        <v>0</v>
      </c>
      <c r="I51" t="e">
        <f t="shared" si="6"/>
        <v>#DIV/0!</v>
      </c>
      <c r="J51" s="3"/>
      <c r="K51" s="3"/>
      <c r="L51">
        <v>1.3080554428553499</v>
      </c>
      <c r="M51">
        <v>1.05245064814075E-3</v>
      </c>
      <c r="N51">
        <v>1.30680092368919</v>
      </c>
      <c r="O51">
        <v>1.1966142360113001E-3</v>
      </c>
      <c r="P51" s="8">
        <f>N51/L51</f>
        <v>0.99904092814030765</v>
      </c>
      <c r="Q51">
        <f t="shared" si="7"/>
        <v>1.2177819875734308E-3</v>
      </c>
    </row>
    <row r="52" spans="1:17" x14ac:dyDescent="0.3">
      <c r="A52">
        <v>150</v>
      </c>
      <c r="B52" s="4"/>
      <c r="D52" s="20">
        <v>1.3346899335651701</v>
      </c>
      <c r="E52" s="20">
        <v>1.09895445803343E-2</v>
      </c>
      <c r="H52" s="7">
        <f>F52/D52</f>
        <v>0</v>
      </c>
      <c r="I52" t="e">
        <f t="shared" si="6"/>
        <v>#DIV/0!</v>
      </c>
      <c r="J52" s="3"/>
      <c r="L52">
        <v>1.2992314592619101</v>
      </c>
      <c r="M52">
        <v>2.6598085552900302E-3</v>
      </c>
      <c r="N52">
        <v>1.2990352083416801</v>
      </c>
      <c r="O52">
        <v>2.3388362534294302E-3</v>
      </c>
      <c r="P52" s="7">
        <f>N52/L52</f>
        <v>0.99984894845423344</v>
      </c>
      <c r="Q52">
        <f t="shared" si="7"/>
        <v>2.7258832387438308E-3</v>
      </c>
    </row>
    <row r="53" spans="1:17" x14ac:dyDescent="0.3">
      <c r="A53">
        <v>250</v>
      </c>
      <c r="B53" s="4"/>
      <c r="D53" s="20">
        <v>1.29678717701069</v>
      </c>
      <c r="E53" s="20">
        <v>1.08165723286055E-2</v>
      </c>
      <c r="H53" s="7">
        <f>F53/D53</f>
        <v>0</v>
      </c>
      <c r="I53" t="e">
        <f t="shared" si="6"/>
        <v>#DIV/0!</v>
      </c>
      <c r="J53" s="3"/>
      <c r="K53" s="3"/>
      <c r="L53">
        <v>1.2754633925346801</v>
      </c>
      <c r="M53">
        <v>2.5670750630042301E-3</v>
      </c>
      <c r="N53">
        <v>1.27508401331121</v>
      </c>
      <c r="O53">
        <v>3.1668437255882899E-3</v>
      </c>
      <c r="P53" s="8">
        <f>N53/L53</f>
        <v>0.9997025557725211</v>
      </c>
      <c r="Q53">
        <f t="shared" si="7"/>
        <v>3.1958049501485874E-3</v>
      </c>
    </row>
    <row r="54" spans="1:17" x14ac:dyDescent="0.3">
      <c r="A54">
        <v>500</v>
      </c>
      <c r="B54" s="4"/>
      <c r="D54" s="20">
        <v>1.2662694099393199</v>
      </c>
      <c r="E54" s="20">
        <v>1.3642711353786301E-2</v>
      </c>
      <c r="H54" s="7">
        <f>F54/D54</f>
        <v>0</v>
      </c>
      <c r="I54" t="e">
        <f t="shared" si="6"/>
        <v>#DIV/0!</v>
      </c>
      <c r="J54" s="3"/>
      <c r="L54">
        <v>1.21433761848289</v>
      </c>
      <c r="M54">
        <v>1.78305037450447E-3</v>
      </c>
      <c r="N54">
        <v>1.2162928747352799</v>
      </c>
      <c r="O54">
        <v>1.78442571980327E-3</v>
      </c>
      <c r="P54" s="7">
        <f>N54/L54</f>
        <v>1.0016101422064423</v>
      </c>
      <c r="Q54">
        <f t="shared" si="7"/>
        <v>2.0790073532015014E-3</v>
      </c>
    </row>
    <row r="55" spans="1:17" x14ac:dyDescent="0.3">
      <c r="A55">
        <v>750</v>
      </c>
      <c r="B55" s="4"/>
      <c r="D55" s="20">
        <v>1.23279071771682</v>
      </c>
      <c r="E55" s="20">
        <v>1.1896408260051301E-2</v>
      </c>
      <c r="H55" s="7">
        <f>F55/D55</f>
        <v>0</v>
      </c>
      <c r="I55" t="e">
        <f t="shared" si="6"/>
        <v>#DIV/0!</v>
      </c>
      <c r="J55" s="4"/>
      <c r="L55">
        <v>1.16893154054166</v>
      </c>
      <c r="M55">
        <v>2.5299483816998E-3</v>
      </c>
      <c r="N55">
        <v>1.1623016999656299</v>
      </c>
      <c r="O55">
        <v>2.3537063605707201E-3</v>
      </c>
      <c r="P55" s="7">
        <f>N55/L55</f>
        <v>0.99432829011273149</v>
      </c>
      <c r="Q55">
        <f t="shared" si="7"/>
        <v>2.9471542099952473E-3</v>
      </c>
    </row>
    <row r="56" spans="1:17" x14ac:dyDescent="0.3">
      <c r="A56">
        <v>999.99</v>
      </c>
      <c r="B56" s="4"/>
      <c r="D56" s="20">
        <v>1.1928852496040101</v>
      </c>
      <c r="E56" s="20">
        <v>1.19657192345643E-2</v>
      </c>
      <c r="H56" s="7">
        <f>F56/D56</f>
        <v>0</v>
      </c>
      <c r="I56" t="e">
        <f>H56*((E56/D56)^2 +(G56/F56)^2)^0.5</f>
        <v>#DIV/0!</v>
      </c>
      <c r="J56" s="4"/>
      <c r="L56">
        <v>1.1280813456035399</v>
      </c>
      <c r="M56">
        <v>2.4503318989518999E-3</v>
      </c>
      <c r="N56">
        <v>1.1159074766764601</v>
      </c>
      <c r="O56">
        <v>2.3868755353182898E-3</v>
      </c>
      <c r="P56" s="8">
        <f>N56/L56</f>
        <v>0.98920834124726476</v>
      </c>
      <c r="Q56">
        <f>P56*((M56/L56)^2 +(O56/N56)^2)^0.5</f>
        <v>3.0155845990736735E-3</v>
      </c>
    </row>
    <row r="59" spans="1:17" x14ac:dyDescent="0.3">
      <c r="C59" s="9" t="s">
        <v>5</v>
      </c>
      <c r="D59" s="9"/>
      <c r="E59" s="9"/>
      <c r="F59" s="10"/>
      <c r="G59" s="10"/>
      <c r="H59" s="10"/>
      <c r="I59" s="10"/>
      <c r="K59" s="2"/>
      <c r="L59" s="2"/>
      <c r="M59" s="2"/>
      <c r="N59" s="2"/>
    </row>
    <row r="60" spans="1:17" x14ac:dyDescent="0.3">
      <c r="C60" s="14" t="s">
        <v>4</v>
      </c>
      <c r="D60" s="14"/>
      <c r="E60" s="14"/>
      <c r="F60" s="15"/>
      <c r="G60" s="15"/>
      <c r="H60" s="15"/>
      <c r="I60" s="14"/>
      <c r="K60" s="17" t="s">
        <v>3</v>
      </c>
      <c r="L60" s="17"/>
      <c r="M60" s="18"/>
      <c r="N60" s="18"/>
      <c r="O60" s="17"/>
      <c r="P60" s="17"/>
      <c r="Q60" s="17"/>
    </row>
    <row r="61" spans="1:17" x14ac:dyDescent="0.3">
      <c r="A61" s="5" t="s">
        <v>0</v>
      </c>
      <c r="B61" s="5"/>
      <c r="C61" s="15" t="s">
        <v>1</v>
      </c>
      <c r="D61" s="15" t="s">
        <v>8</v>
      </c>
      <c r="E61" s="15" t="s">
        <v>9</v>
      </c>
      <c r="F61" s="15" t="s">
        <v>10</v>
      </c>
      <c r="G61" s="15" t="s">
        <v>11</v>
      </c>
      <c r="H61" s="16" t="s">
        <v>6</v>
      </c>
      <c r="I61" s="16" t="s">
        <v>12</v>
      </c>
      <c r="J61" s="6"/>
      <c r="K61" s="18" t="s">
        <v>1</v>
      </c>
      <c r="L61" s="18" t="s">
        <v>8</v>
      </c>
      <c r="M61" s="18" t="s">
        <v>9</v>
      </c>
      <c r="N61" s="18" t="s">
        <v>10</v>
      </c>
      <c r="O61" s="18" t="s">
        <v>11</v>
      </c>
      <c r="P61" s="19" t="s">
        <v>6</v>
      </c>
      <c r="Q61" s="19" t="s">
        <v>12</v>
      </c>
    </row>
    <row r="62" spans="1:17" x14ac:dyDescent="0.3">
      <c r="A62">
        <v>0.1</v>
      </c>
      <c r="B62" s="4"/>
      <c r="C62" s="2">
        <v>2.0906018648200899E-5</v>
      </c>
      <c r="D62" s="21">
        <v>1.9785240862768899E-5</v>
      </c>
      <c r="E62" s="21"/>
      <c r="F62" s="2">
        <v>2.0611254914561302E-5</v>
      </c>
      <c r="G62" s="2">
        <v>2.6942824381894501E-8</v>
      </c>
      <c r="H62" s="7">
        <f>F62/D62</f>
        <v>1.0417490015674646</v>
      </c>
      <c r="I62">
        <f>H62*((E62/D62)^2 +(G62/F62)^2)^0.5</f>
        <v>1.3617637798180393E-3</v>
      </c>
      <c r="J62" s="3"/>
      <c r="K62" s="2"/>
      <c r="L62" s="2">
        <v>2.44222139985293E-5</v>
      </c>
      <c r="M62" s="2">
        <v>3.2540004788240401E-9</v>
      </c>
      <c r="N62" s="7"/>
      <c r="P62" s="7">
        <f>N62/L62</f>
        <v>0</v>
      </c>
      <c r="Q62" t="e">
        <f>P62*((M62/L62)^2 +(O62/N62)^2)^0.5</f>
        <v>#DIV/0!</v>
      </c>
    </row>
    <row r="63" spans="1:17" x14ac:dyDescent="0.3">
      <c r="A63">
        <v>0.5</v>
      </c>
      <c r="B63" s="4"/>
      <c r="C63" s="2">
        <v>3.1327203465188001E-3</v>
      </c>
      <c r="D63" s="20">
        <v>1.02051178015395E-4</v>
      </c>
      <c r="E63" s="20"/>
      <c r="F63">
        <v>1.03580844636417E-4</v>
      </c>
      <c r="G63" s="2">
        <v>6.1396317523546606E-8</v>
      </c>
      <c r="H63" s="7">
        <f>F63/D63</f>
        <v>1.0149892108133356</v>
      </c>
      <c r="I63">
        <f t="shared" ref="I63:I73" si="8">H63*((E63/D63)^2 +(G63/F63)^2)^0.5</f>
        <v>6.016228202116846E-4</v>
      </c>
      <c r="J63" s="3"/>
      <c r="L63">
        <v>1.21907844018741E-4</v>
      </c>
      <c r="M63" s="2">
        <v>1.40834939730919E-8</v>
      </c>
      <c r="N63">
        <v>1.27621410906264E-4</v>
      </c>
      <c r="O63" s="2">
        <v>7.9820165373987095E-8</v>
      </c>
      <c r="P63" s="7">
        <f>N63/L63</f>
        <v>1.0468679184142133</v>
      </c>
      <c r="Q63">
        <f t="shared" ref="Q63:Q73" si="9">P63*((M63/L63)^2 +(O63/N63)^2)^0.5</f>
        <v>6.6583397526143498E-4</v>
      </c>
    </row>
    <row r="64" spans="1:17" x14ac:dyDescent="0.3">
      <c r="A64">
        <v>1</v>
      </c>
      <c r="B64" s="4"/>
      <c r="C64" s="2">
        <v>6.2691724987101998E-3</v>
      </c>
      <c r="D64" s="20">
        <v>2.0004896550590901E-4</v>
      </c>
      <c r="E64" s="20"/>
      <c r="F64">
        <v>2.0769359643264999E-4</v>
      </c>
      <c r="G64" s="2">
        <v>8.9692390255205302E-8</v>
      </c>
      <c r="H64" s="7">
        <f>F64/D64</f>
        <v>1.0382137988437394</v>
      </c>
      <c r="I64">
        <f t="shared" si="8"/>
        <v>4.4835218231886319E-4</v>
      </c>
      <c r="J64" s="3"/>
      <c r="L64">
        <v>2.4364376203713501E-4</v>
      </c>
      <c r="M64" s="2">
        <v>3.6399685613690799E-8</v>
      </c>
      <c r="N64">
        <v>2.5560959700704201E-4</v>
      </c>
      <c r="O64" s="2">
        <v>1.2775665836178299E-7</v>
      </c>
      <c r="P64" s="7">
        <f>N64/L64</f>
        <v>1.0491120103788383</v>
      </c>
      <c r="Q64">
        <f t="shared" si="9"/>
        <v>5.4728183879285217E-4</v>
      </c>
    </row>
    <row r="65" spans="1:17" x14ac:dyDescent="0.3">
      <c r="A65">
        <v>10</v>
      </c>
      <c r="B65" s="4"/>
      <c r="C65" s="2">
        <v>1.2558983712415E-2</v>
      </c>
      <c r="D65" s="20">
        <v>1.9727739159685499E-3</v>
      </c>
      <c r="E65" s="20"/>
      <c r="F65">
        <v>2.0882330769847598E-3</v>
      </c>
      <c r="G65" s="2">
        <v>1.5267636606574901E-6</v>
      </c>
      <c r="H65" s="7">
        <f>F65/D65</f>
        <v>1.0585263015095798</v>
      </c>
      <c r="I65">
        <f t="shared" si="8"/>
        <v>7.7391719765714396E-4</v>
      </c>
      <c r="J65" s="3"/>
      <c r="L65">
        <v>2.4288696331029799E-3</v>
      </c>
      <c r="M65" s="2">
        <v>9.7964708696651905E-7</v>
      </c>
      <c r="N65">
        <v>2.56202907911283E-3</v>
      </c>
      <c r="O65" s="2">
        <v>1.85007690935801E-6</v>
      </c>
      <c r="P65" s="7">
        <f>N65/L65</f>
        <v>1.0548236283228316</v>
      </c>
      <c r="Q65">
        <f t="shared" si="9"/>
        <v>8.7246560513766763E-4</v>
      </c>
    </row>
    <row r="66" spans="1:17" x14ac:dyDescent="0.3">
      <c r="A66">
        <v>25</v>
      </c>
      <c r="B66" s="4"/>
      <c r="C66" s="2">
        <v>1.8782496824776201E-2</v>
      </c>
      <c r="D66" s="20">
        <v>4.9269907229743297E-3</v>
      </c>
      <c r="E66" s="20"/>
      <c r="F66">
        <v>5.2267028439012698E-3</v>
      </c>
      <c r="G66" s="2">
        <v>5.8392478108713296E-6</v>
      </c>
      <c r="H66" s="7">
        <f>F66/D66</f>
        <v>1.0608306647563586</v>
      </c>
      <c r="I66">
        <f t="shared" si="8"/>
        <v>1.1851550244743078E-3</v>
      </c>
      <c r="J66" s="3"/>
      <c r="L66">
        <v>6.0546834237900898E-3</v>
      </c>
      <c r="M66" s="2">
        <v>3.7968621057748099E-6</v>
      </c>
      <c r="N66">
        <v>6.4137122028123401E-3</v>
      </c>
      <c r="O66" s="2">
        <v>5.4200951411111697E-6</v>
      </c>
      <c r="P66" s="7">
        <f>N66/L66</f>
        <v>1.0592976963273675</v>
      </c>
      <c r="Q66">
        <f t="shared" si="9"/>
        <v>1.1147351456962668E-3</v>
      </c>
    </row>
    <row r="67" spans="1:17" x14ac:dyDescent="0.3">
      <c r="A67">
        <v>50</v>
      </c>
      <c r="B67" s="4"/>
      <c r="C67" s="2">
        <v>2.51046376970986E-2</v>
      </c>
      <c r="D67" s="20">
        <v>9.7820010092556295E-3</v>
      </c>
      <c r="E67" s="20"/>
      <c r="F67">
        <v>1.04457324399824E-2</v>
      </c>
      <c r="G67" s="2">
        <v>1.0966581763202101E-5</v>
      </c>
      <c r="H67" s="7">
        <f>F67/D67</f>
        <v>1.0678523167293434</v>
      </c>
      <c r="I67">
        <f t="shared" si="8"/>
        <v>1.1210979995632418E-3</v>
      </c>
      <c r="J67" s="3"/>
      <c r="L67">
        <v>1.20608403533201E-2</v>
      </c>
      <c r="M67" s="2">
        <v>1.08240027557222E-5</v>
      </c>
      <c r="N67">
        <v>1.27839027701272E-2</v>
      </c>
      <c r="O67" s="2">
        <v>1.14752038724967E-5</v>
      </c>
      <c r="P67" s="7">
        <f>N67/L67</f>
        <v>1.0599512468140793</v>
      </c>
      <c r="Q67">
        <f t="shared" si="9"/>
        <v>1.3454096255822378E-3</v>
      </c>
    </row>
    <row r="68" spans="1:17" x14ac:dyDescent="0.3">
      <c r="A68">
        <v>75</v>
      </c>
      <c r="B68" s="4"/>
      <c r="C68" s="2">
        <v>3.1476119846668899E-2</v>
      </c>
      <c r="D68" s="20">
        <v>1.43763436727791E-2</v>
      </c>
      <c r="E68" s="20"/>
      <c r="H68" s="7">
        <f>F68/D68</f>
        <v>0</v>
      </c>
      <c r="I68" t="e">
        <f t="shared" si="8"/>
        <v>#DIV/0!</v>
      </c>
      <c r="J68" s="3"/>
      <c r="L68">
        <v>1.8041215453004699E-2</v>
      </c>
      <c r="M68" s="2">
        <v>1.7714094968001101E-5</v>
      </c>
      <c r="N68">
        <v>1.9051467947753701E-2</v>
      </c>
      <c r="O68" s="2">
        <v>1.1429796000528301E-5</v>
      </c>
      <c r="P68" s="7">
        <f>N68/L68</f>
        <v>1.0559969197962629</v>
      </c>
      <c r="Q68">
        <f t="shared" si="9"/>
        <v>1.2150834669821305E-3</v>
      </c>
    </row>
    <row r="69" spans="1:17" x14ac:dyDescent="0.3">
      <c r="A69">
        <v>100</v>
      </c>
      <c r="B69" s="4"/>
      <c r="C69" s="2">
        <v>5.2878603388737497E-2</v>
      </c>
      <c r="D69" s="20">
        <v>2.00458898906196E-2</v>
      </c>
      <c r="E69" s="20"/>
      <c r="H69" s="7">
        <f>F69/D69</f>
        <v>0</v>
      </c>
      <c r="I69" t="e">
        <f t="shared" si="8"/>
        <v>#DIV/0!</v>
      </c>
      <c r="J69" s="3"/>
      <c r="L69">
        <v>2.3942727421137198E-2</v>
      </c>
      <c r="M69" s="2">
        <v>2.41011922220882E-5</v>
      </c>
      <c r="N69">
        <v>2.5404075273833399E-2</v>
      </c>
      <c r="O69" s="2">
        <v>2.6871581822638802E-5</v>
      </c>
      <c r="P69" s="7">
        <f>N69/L69</f>
        <v>1.0610351455367648</v>
      </c>
      <c r="Q69">
        <f t="shared" si="9"/>
        <v>1.5493114902381951E-3</v>
      </c>
    </row>
    <row r="70" spans="1:17" x14ac:dyDescent="0.3">
      <c r="A70">
        <v>150</v>
      </c>
      <c r="B70" s="4"/>
      <c r="C70" s="2">
        <v>0.107716927588289</v>
      </c>
      <c r="D70" s="20">
        <v>3.0432830381329601E-2</v>
      </c>
      <c r="E70" s="20"/>
      <c r="H70" s="7">
        <f>F70/D70</f>
        <v>0</v>
      </c>
      <c r="I70" t="e">
        <f t="shared" si="8"/>
        <v>#DIV/0!</v>
      </c>
      <c r="J70" s="3"/>
      <c r="L70">
        <v>3.5694610619412301E-2</v>
      </c>
      <c r="M70" s="2">
        <v>8.2524961518027197E-5</v>
      </c>
      <c r="N70">
        <v>3.7961973926613303E-2</v>
      </c>
      <c r="O70">
        <v>1.02905372343833E-4</v>
      </c>
      <c r="P70" s="7">
        <f>N70/L70</f>
        <v>1.0635211665810387</v>
      </c>
      <c r="Q70">
        <f t="shared" si="9"/>
        <v>3.7890881489905845E-3</v>
      </c>
    </row>
    <row r="71" spans="1:17" x14ac:dyDescent="0.3">
      <c r="A71">
        <v>250</v>
      </c>
      <c r="B71" s="4"/>
      <c r="C71" s="2">
        <v>0.16515386445267599</v>
      </c>
      <c r="D71" s="20">
        <v>4.89210306757277E-2</v>
      </c>
      <c r="E71" s="20"/>
      <c r="H71" s="7">
        <f>F71/D71</f>
        <v>0</v>
      </c>
      <c r="I71" t="e">
        <f t="shared" si="8"/>
        <v>#DIV/0!</v>
      </c>
      <c r="J71" s="3"/>
      <c r="L71">
        <v>5.8503285539065399E-2</v>
      </c>
      <c r="M71">
        <v>1.3565230700754799E-4</v>
      </c>
      <c r="N71">
        <v>6.2444533831966298E-2</v>
      </c>
      <c r="O71">
        <v>1.8469627006352599E-4</v>
      </c>
      <c r="P71" s="7">
        <f>N71/L71</f>
        <v>1.0673679820985291</v>
      </c>
      <c r="Q71">
        <f t="shared" si="9"/>
        <v>4.0114868768480784E-3</v>
      </c>
    </row>
    <row r="72" spans="1:17" x14ac:dyDescent="0.3">
      <c r="A72">
        <v>500</v>
      </c>
      <c r="B72" s="4"/>
      <c r="C72" s="2">
        <v>0.22114304090137801</v>
      </c>
      <c r="D72" s="20">
        <v>9.6226590649767796E-2</v>
      </c>
      <c r="E72" s="20"/>
      <c r="H72" s="7">
        <f>F72/D72</f>
        <v>0</v>
      </c>
      <c r="I72" t="e">
        <f t="shared" si="8"/>
        <v>#DIV/0!</v>
      </c>
      <c r="J72" s="3"/>
      <c r="L72">
        <v>0.111849004597233</v>
      </c>
      <c r="M72">
        <v>1.9399071169807599E-4</v>
      </c>
      <c r="N72">
        <v>0.120228333001437</v>
      </c>
      <c r="O72">
        <v>2.56613265918605E-4</v>
      </c>
      <c r="P72" s="7">
        <f>N72/L72</f>
        <v>1.0749164325098632</v>
      </c>
      <c r="Q72">
        <f t="shared" si="9"/>
        <v>2.9562598512691846E-3</v>
      </c>
    </row>
    <row r="73" spans="1:17" x14ac:dyDescent="0.3">
      <c r="A73">
        <v>750</v>
      </c>
      <c r="B73" s="4"/>
      <c r="D73" s="20">
        <v>0.140294088260282</v>
      </c>
      <c r="E73" s="20"/>
      <c r="H73" s="7">
        <f>F73/D73</f>
        <v>0</v>
      </c>
      <c r="I73" t="e">
        <f t="shared" si="8"/>
        <v>#DIV/0!</v>
      </c>
      <c r="J73" s="4"/>
      <c r="L73">
        <v>0.16223272595004601</v>
      </c>
      <c r="M73">
        <v>4.29274074054726E-4</v>
      </c>
      <c r="N73">
        <v>0.17320049362348</v>
      </c>
      <c r="O73">
        <v>3.4421587306751399E-4</v>
      </c>
      <c r="P73" s="7">
        <f>N73/L73</f>
        <v>1.0676051493877452</v>
      </c>
      <c r="Q73">
        <f t="shared" si="9"/>
        <v>3.5329852627062406E-3</v>
      </c>
    </row>
    <row r="74" spans="1:17" x14ac:dyDescent="0.3">
      <c r="A74">
        <v>999.99</v>
      </c>
      <c r="B74" s="4"/>
      <c r="D74" s="20">
        <v>0.181401571560247</v>
      </c>
      <c r="E74" s="20"/>
      <c r="H74" s="7">
        <f>F74/D74</f>
        <v>0</v>
      </c>
      <c r="I74" t="e">
        <f>H74*((E74/D74)^2 +(G74/F74)^2)^0.5</f>
        <v>#DIV/0!</v>
      </c>
      <c r="J74" s="4"/>
      <c r="L74">
        <v>0.208953603264767</v>
      </c>
      <c r="M74">
        <v>5.3129443828807302E-4</v>
      </c>
      <c r="N74">
        <v>0.223224252625355</v>
      </c>
      <c r="O74">
        <v>5.6545982801596898E-4</v>
      </c>
      <c r="P74" s="7">
        <f>N74/L74</f>
        <v>1.0682957802000932</v>
      </c>
      <c r="Q74">
        <f>P74*((M74/L74)^2 +(O74/N74)^2)^0.5</f>
        <v>3.8342543851553339E-3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2026-04-08T00:17:11Z</dcterms:modified>
</cp:coreProperties>
</file>