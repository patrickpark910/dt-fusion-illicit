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/>
  <mc:AlternateContent xmlns:mc="http://schemas.openxmlformats.org/markup-compatibility/2006">
    <mc:Choice Requires="x15">
      <x15ac:absPath xmlns:x15ac="http://schemas.microsoft.com/office/spreadsheetml/2010/11/ac" url="\\wsl.localhost\Ubuntu\home\patri\projects\emma-openmc\Jupyter\Wedge\"/>
    </mc:Choice>
  </mc:AlternateContent>
  <xr:revisionPtr revIDLastSave="0" documentId="13_ncr:1_{100225AE-D78B-42E7-A4DA-1A50FD7EF77D}" xr6:coauthVersionLast="47" xr6:coauthVersionMax="47" xr10:uidLastSave="{00000000-0000-0000-0000-000000000000}"/>
  <bookViews>
    <workbookView xWindow="-108" yWindow="-108" windowWidth="30936" windowHeight="17496" xr2:uid="{00000000-000D-0000-FFFF-FFFF00000000}"/>
  </bookViews>
  <sheets>
    <sheet name="Sheet 1" sheetId="3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8" i="3" l="1"/>
  <c r="F68" i="3"/>
  <c r="K67" i="3"/>
  <c r="F67" i="3"/>
  <c r="K66" i="3"/>
  <c r="F66" i="3"/>
  <c r="K65" i="3"/>
  <c r="F65" i="3"/>
  <c r="K64" i="3"/>
  <c r="F64" i="3"/>
  <c r="K63" i="3"/>
  <c r="F63" i="3"/>
  <c r="K62" i="3"/>
  <c r="F62" i="3"/>
  <c r="K61" i="3"/>
  <c r="F61" i="3"/>
  <c r="K60" i="3"/>
  <c r="F60" i="3"/>
  <c r="K59" i="3"/>
  <c r="F59" i="3"/>
  <c r="K58" i="3"/>
  <c r="F58" i="3"/>
  <c r="K51" i="3"/>
  <c r="F51" i="3"/>
  <c r="K50" i="3"/>
  <c r="F50" i="3"/>
  <c r="K49" i="3"/>
  <c r="F49" i="3"/>
  <c r="K48" i="3"/>
  <c r="F48" i="3"/>
  <c r="K47" i="3"/>
  <c r="F47" i="3"/>
  <c r="K46" i="3"/>
  <c r="F46" i="3"/>
  <c r="K45" i="3"/>
  <c r="F45" i="3"/>
  <c r="K44" i="3"/>
  <c r="F44" i="3"/>
  <c r="K43" i="3"/>
  <c r="F43" i="3"/>
  <c r="K42" i="3"/>
  <c r="F42" i="3"/>
  <c r="K41" i="3"/>
  <c r="F41" i="3"/>
  <c r="K33" i="3"/>
  <c r="K32" i="3"/>
  <c r="K31" i="3"/>
  <c r="K30" i="3"/>
  <c r="K29" i="3"/>
  <c r="K28" i="3"/>
  <c r="K27" i="3"/>
  <c r="K26" i="3"/>
  <c r="K25" i="3"/>
  <c r="K24" i="3"/>
  <c r="K23" i="3"/>
  <c r="K16" i="3"/>
  <c r="K15" i="3"/>
  <c r="K14" i="3"/>
  <c r="K13" i="3"/>
  <c r="K12" i="3"/>
  <c r="K11" i="3"/>
  <c r="K10" i="3"/>
  <c r="K9" i="3"/>
  <c r="K8" i="3"/>
  <c r="K7" i="3"/>
  <c r="K6" i="3"/>
  <c r="C5" i="3" l="1"/>
  <c r="F33" i="3"/>
  <c r="F32" i="3"/>
  <c r="F31" i="3"/>
  <c r="F30" i="3"/>
  <c r="F29" i="3"/>
  <c r="F28" i="3"/>
  <c r="F27" i="3"/>
  <c r="F26" i="3"/>
  <c r="F25" i="3"/>
  <c r="F24" i="3"/>
  <c r="F23" i="3"/>
  <c r="F16" i="3" l="1"/>
  <c r="F15" i="3"/>
  <c r="F14" i="3"/>
  <c r="F13" i="3"/>
  <c r="F12" i="3"/>
  <c r="F11" i="3"/>
  <c r="F10" i="3"/>
  <c r="F9" i="3"/>
  <c r="F8" i="3"/>
  <c r="F7" i="3"/>
  <c r="F6" i="3"/>
</calcChain>
</file>

<file path=xl/sharedStrings.xml><?xml version="1.0" encoding="utf-8"?>
<sst xmlns="http://schemas.openxmlformats.org/spreadsheetml/2006/main" count="49" uniqueCount="10">
  <si>
    <t>Fertile kg/m3</t>
  </si>
  <si>
    <t>D-shape</t>
  </si>
  <si>
    <t>TRITIUM BREEDING RATIO [ RXNS/SRC-N ]</t>
  </si>
  <si>
    <t>Thorium BISO</t>
  </si>
  <si>
    <t>Uranium BISO</t>
  </si>
  <si>
    <t>FISSILE PRODUCTION RATE [ RXNS/SRC-N ]</t>
  </si>
  <si>
    <t>Wedge-C</t>
  </si>
  <si>
    <t>Wedge-A</t>
  </si>
  <si>
    <t>=C/A</t>
  </si>
  <si>
    <t>DCLL-Greta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</si>
</sst>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000"/>
    <numFmt numFmtId="165" formatCode="0.000000000"/>
  </numFmts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rgb="FF00B0F0"/>
      <name val="Calibri"/>
      <family val="2"/>
      <scheme val="minor"/>
    </font>
    <font>
      <sz val="11"/>
      <color rgb="FF00B0F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11" fontId="0" fillId="0" borderId="0" xfId="0" applyNumberFormat="1"/>
    <xf numFmtId="0" fontId="0" fillId="3" borderId="0" xfId="0" applyFill="1"/>
    <xf numFmtId="0" fontId="0" fillId="4" borderId="0" xfId="0" applyFill="1"/>
    <xf numFmtId="11" fontId="0" fillId="4" borderId="0" xfId="0" applyNumberFormat="1" applyFill="1"/>
    <xf numFmtId="0" fontId="1" fillId="2" borderId="0" xfId="0" applyFont="1" applyFill="1"/>
    <xf numFmtId="0" fontId="1" fillId="2" borderId="0" xfId="0" quotePrefix="1" applyFont="1" applyFill="1"/>
    <xf numFmtId="0" fontId="0" fillId="2" borderId="0" xfId="0" applyFill="1"/>
    <xf numFmtId="0" fontId="1" fillId="3" borderId="0" xfId="0" applyFont="1" applyFill="1"/>
    <xf numFmtId="164" fontId="0" fillId="0" borderId="0" xfId="0" applyNumberFormat="1"/>
    <xf numFmtId="164" fontId="0" fillId="4" borderId="0" xfId="0" applyNumberFormat="1" applyFill="1"/>
    <xf numFmtId="11" fontId="2" fillId="0" borderId="0" xfId="0" applyNumberFormat="1" applyFont="1"/>
    <xf numFmtId="0" fontId="3" fillId="0" borderId="0" xfId="0" applyFont="1"/>
    <xf numFmtId="11" fontId="4" fillId="0" borderId="0" xfId="0" applyNumberFormat="1" applyFont="1"/>
    <xf numFmtId="0" fontId="5" fillId="0" borderId="0" xfId="0" applyFont="1"/>
    <xf numFmtId="165" fontId="0" fillId="2" borderId="0" xfId="0" applyNumberFormat="1" applyFill="1"/>
    <xf numFmtId="164" fontId="0" fillId="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1'!$A$23:$A$33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1'!$F$23:$F$33</c:f>
              <c:numCache>
                <c:formatCode>0.000000</c:formatCode>
                <c:ptCount val="11"/>
                <c:pt idx="0">
                  <c:v>0.60767258302427063</c:v>
                </c:pt>
                <c:pt idx="1">
                  <c:v>0.65530071246920629</c:v>
                </c:pt>
                <c:pt idx="2">
                  <c:v>0.67754280833532643</c:v>
                </c:pt>
                <c:pt idx="3">
                  <c:v>0.7150760468910391</c:v>
                </c:pt>
                <c:pt idx="4">
                  <c:v>0.74349815634063066</c:v>
                </c:pt>
                <c:pt idx="5">
                  <c:v>0.76438369871068157</c:v>
                </c:pt>
                <c:pt idx="6">
                  <c:v>0.78725904477144404</c:v>
                </c:pt>
                <c:pt idx="7">
                  <c:v>0.83345315481177829</c:v>
                </c:pt>
                <c:pt idx="8">
                  <c:v>0.88203918971975193</c:v>
                </c:pt>
                <c:pt idx="9">
                  <c:v>0.89495763249258353</c:v>
                </c:pt>
                <c:pt idx="10">
                  <c:v>0.8942179214729904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F5A-449C-BA40-26C8A0D4DFC0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'Sheet 1'!$A$23:$A$33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1'!$K$23:$K$33</c:f>
              <c:numCache>
                <c:formatCode>0.000000</c:formatCode>
                <c:ptCount val="11"/>
                <c:pt idx="0">
                  <c:v>0.77519648206887304</c:v>
                </c:pt>
                <c:pt idx="1">
                  <c:v>0.80083243056645892</c:v>
                </c:pt>
                <c:pt idx="2">
                  <c:v>0.81914690706968962</c:v>
                </c:pt>
                <c:pt idx="3">
                  <c:v>0.82656078378953657</c:v>
                </c:pt>
                <c:pt idx="4">
                  <c:v>0.84465973083032153</c:v>
                </c:pt>
                <c:pt idx="5">
                  <c:v>0.8509612295329948</c:v>
                </c:pt>
                <c:pt idx="6">
                  <c:v>0.86330946178656565</c:v>
                </c:pt>
                <c:pt idx="7">
                  <c:v>0.88204852071416562</c:v>
                </c:pt>
                <c:pt idx="8">
                  <c:v>0.90265799625796272</c:v>
                </c:pt>
                <c:pt idx="9">
                  <c:v>0.90631014559227674</c:v>
                </c:pt>
                <c:pt idx="10">
                  <c:v>0.90335830122978089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F5A-449C-BA40-26C8A0D4DFC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393801328"/>
        <c:axId val="1647516927"/>
      </c:scatterChart>
      <c:valAx>
        <c:axId val="1393801328"/>
        <c:scaling>
          <c:orientation val="minMax"/>
          <c:max val="1015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7516927"/>
        <c:crosses val="autoZero"/>
        <c:crossBetween val="midCat"/>
      </c:valAx>
      <c:valAx>
        <c:axId val="164751692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393801328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0.11546806649168855"/>
                  <c:y val="0.18222626017901614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1'!$A$6:$A$16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1'!$F$6:$F$16</c:f>
              <c:numCache>
                <c:formatCode>0.000000</c:formatCode>
                <c:ptCount val="11"/>
                <c:pt idx="0">
                  <c:v>1.0005581562381762</c:v>
                </c:pt>
                <c:pt idx="1">
                  <c:v>1.0026743854359832</c:v>
                </c:pt>
                <c:pt idx="2">
                  <c:v>1.0021589302375784</c:v>
                </c:pt>
                <c:pt idx="3">
                  <c:v>1.0049611638314022</c:v>
                </c:pt>
                <c:pt idx="4">
                  <c:v>1.007997543080646</c:v>
                </c:pt>
                <c:pt idx="5">
                  <c:v>1.0068066975783474</c:v>
                </c:pt>
                <c:pt idx="6">
                  <c:v>1.0105439212957481</c:v>
                </c:pt>
                <c:pt idx="7">
                  <c:v>1.0160375172429779</c:v>
                </c:pt>
                <c:pt idx="8">
                  <c:v>1.0277465853256991</c:v>
                </c:pt>
                <c:pt idx="9">
                  <c:v>1.0410308363977838</c:v>
                </c:pt>
                <c:pt idx="10">
                  <c:v>1.0542808874235223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0D61-4DCE-9286-72E05B5CD6AC}"/>
            </c:ext>
          </c:extLst>
        </c:ser>
        <c:ser>
          <c:idx val="1"/>
          <c:order val="1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2"/>
                </a:solidFill>
                <a:prstDash val="sysDot"/>
              </a:ln>
              <a:effectLst/>
            </c:spPr>
            <c:trendlineType val="linear"/>
            <c:intercept val="1"/>
            <c:dispRSqr val="1"/>
            <c:dispEq val="1"/>
            <c:trendlineLbl>
              <c:layout>
                <c:manualLayout>
                  <c:x val="-0.14286526684164486"/>
                  <c:y val="-1.1164529914529915E-2"/>
                </c:manualLayout>
              </c:layout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'Sheet 1'!$A$6:$A$16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1'!$K$6:$K$16</c:f>
              <c:numCache>
                <c:formatCode>0.000000</c:formatCode>
                <c:ptCount val="11"/>
                <c:pt idx="0">
                  <c:v>1.0003878283273324</c:v>
                </c:pt>
                <c:pt idx="1">
                  <c:v>1.0027368257083531</c:v>
                </c:pt>
                <c:pt idx="2">
                  <c:v>1.002132645867061</c:v>
                </c:pt>
                <c:pt idx="3">
                  <c:v>1.004473547867506</c:v>
                </c:pt>
                <c:pt idx="4">
                  <c:v>1.0073888101001607</c:v>
                </c:pt>
                <c:pt idx="5">
                  <c:v>1.0081526090820587</c:v>
                </c:pt>
                <c:pt idx="6">
                  <c:v>1.010816520529382</c:v>
                </c:pt>
                <c:pt idx="7">
                  <c:v>1.0129844821876621</c:v>
                </c:pt>
                <c:pt idx="8">
                  <c:v>1.0286922566821892</c:v>
                </c:pt>
                <c:pt idx="9">
                  <c:v>1.0410106462729396</c:v>
                </c:pt>
                <c:pt idx="10">
                  <c:v>1.0574321213036151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0D61-4DCE-9286-72E05B5CD6A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641289503"/>
        <c:axId val="1641287583"/>
      </c:scatterChart>
      <c:valAx>
        <c:axId val="16412895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7583"/>
        <c:crosses val="autoZero"/>
        <c:crossBetween val="midCat"/>
      </c:valAx>
      <c:valAx>
        <c:axId val="164128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6412895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1'!$F$57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1'!$A$58:$A$68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1'!$F$58:$F$68</c:f>
              <c:numCache>
                <c:formatCode>0.000000</c:formatCode>
                <c:ptCount val="11"/>
                <c:pt idx="0">
                  <c:v>1.0201938145305103</c:v>
                </c:pt>
                <c:pt idx="1">
                  <c:v>1.0478683164942482</c:v>
                </c:pt>
                <c:pt idx="2">
                  <c:v>1.0473792025028101</c:v>
                </c:pt>
                <c:pt idx="3">
                  <c:v>1.053849165664958</c:v>
                </c:pt>
                <c:pt idx="4">
                  <c:v>1.051289217736306</c:v>
                </c:pt>
                <c:pt idx="5">
                  <c:v>1.0535239096501048</c:v>
                </c:pt>
                <c:pt idx="6">
                  <c:v>1.0520823967470339</c:v>
                </c:pt>
                <c:pt idx="7">
                  <c:v>1.0546841071923558</c:v>
                </c:pt>
                <c:pt idx="8">
                  <c:v>1.0515790332193304</c:v>
                </c:pt>
                <c:pt idx="9">
                  <c:v>1.0466978406658991</c:v>
                </c:pt>
                <c:pt idx="10">
                  <c:v>1.0412352593312988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8DCE-479C-9EA8-30A245A0838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4616576"/>
        <c:axId val="114617056"/>
      </c:scatterChart>
      <c:valAx>
        <c:axId val="11461657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7056"/>
        <c:crosses val="autoZero"/>
        <c:crossBetween val="midCat"/>
      </c:valAx>
      <c:valAx>
        <c:axId val="11461705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461657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tx>
            <c:strRef>
              <c:f>'Sheet 1'!$F$40</c:f>
              <c:strCache>
                <c:ptCount val="1"/>
                <c:pt idx="0">
                  <c:v>=C/A</c:v>
                </c:pt>
              </c:strCache>
            </c:strRef>
          </c:tx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'Sheet 1'!$A$41:$A$51</c:f>
              <c:numCache>
                <c:formatCode>General</c:formatCode>
                <c:ptCount val="11"/>
                <c:pt idx="0">
                  <c:v>0.1</c:v>
                </c:pt>
                <c:pt idx="1">
                  <c:v>15</c:v>
                </c:pt>
                <c:pt idx="2">
                  <c:v>30</c:v>
                </c:pt>
                <c:pt idx="3">
                  <c:v>60</c:v>
                </c:pt>
                <c:pt idx="4">
                  <c:v>90</c:v>
                </c:pt>
                <c:pt idx="5">
                  <c:v>120</c:v>
                </c:pt>
                <c:pt idx="6">
                  <c:v>150</c:v>
                </c:pt>
                <c:pt idx="7">
                  <c:v>250</c:v>
                </c:pt>
                <c:pt idx="8">
                  <c:v>500</c:v>
                </c:pt>
                <c:pt idx="9">
                  <c:v>750</c:v>
                </c:pt>
                <c:pt idx="10">
                  <c:v>1000</c:v>
                </c:pt>
              </c:numCache>
            </c:numRef>
          </c:xVal>
          <c:yVal>
            <c:numRef>
              <c:f>'Sheet 1'!$F$41:$F$51</c:f>
              <c:numCache>
                <c:formatCode>0.000000</c:formatCode>
                <c:ptCount val="11"/>
                <c:pt idx="0">
                  <c:v>1.0002061377408649</c:v>
                </c:pt>
                <c:pt idx="1">
                  <c:v>0.99891005109663888</c:v>
                </c:pt>
                <c:pt idx="2">
                  <c:v>0.99815713339154455</c:v>
                </c:pt>
                <c:pt idx="3">
                  <c:v>1.0001410320682957</c:v>
                </c:pt>
                <c:pt idx="4">
                  <c:v>0.99834261928649515</c:v>
                </c:pt>
                <c:pt idx="5">
                  <c:v>1.000439827114133</c:v>
                </c:pt>
                <c:pt idx="6">
                  <c:v>0.99998298589275558</c:v>
                </c:pt>
                <c:pt idx="7">
                  <c:v>1.0031432346852518</c:v>
                </c:pt>
                <c:pt idx="8">
                  <c:v>1.0077316291586689</c:v>
                </c:pt>
                <c:pt idx="9">
                  <c:v>1.0118470565893447</c:v>
                </c:pt>
                <c:pt idx="10">
                  <c:v>1.0166118389025205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2C96-4BEB-84E0-6A0C66B7B7A7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1977952"/>
        <c:axId val="111975072"/>
      </c:scatterChart>
      <c:valAx>
        <c:axId val="111977952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5072"/>
        <c:crosses val="autoZero"/>
        <c:crossBetween val="midCat"/>
      </c:valAx>
      <c:valAx>
        <c:axId val="11197507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00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1977952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Relationship Id="rId4" Type="http://schemas.openxmlformats.org/officeDocument/2006/relationships/chart" Target="../charts/chart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132179</xdr:colOff>
      <xdr:row>19</xdr:row>
      <xdr:rowOff>56857</xdr:rowOff>
    </xdr:from>
    <xdr:to>
      <xdr:col>19</xdr:col>
      <xdr:colOff>436979</xdr:colOff>
      <xdr:row>34</xdr:row>
      <xdr:rowOff>56857</xdr:rowOff>
    </xdr:to>
    <xdr:graphicFrame macro="">
      <xdr:nvGraphicFramePr>
        <xdr:cNvPr id="5" name="Chart 4">
          <a:extLst>
            <a:ext uri="{FF2B5EF4-FFF2-40B4-BE49-F238E27FC236}">
              <a16:creationId xmlns:a16="http://schemas.microsoft.com/office/drawing/2014/main" id="{CBBF6084-11AA-97F7-53C2-9A86E48D2648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300990</xdr:colOff>
      <xdr:row>2</xdr:row>
      <xdr:rowOff>99060</xdr:rowOff>
    </xdr:from>
    <xdr:to>
      <xdr:col>19</xdr:col>
      <xdr:colOff>605790</xdr:colOff>
      <xdr:row>15</xdr:row>
      <xdr:rowOff>99060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C38D171C-51DC-A2DA-08F3-A64A456D65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11</xdr:col>
      <xdr:colOff>868680</xdr:colOff>
      <xdr:row>53</xdr:row>
      <xdr:rowOff>76200</xdr:rowOff>
    </xdr:from>
    <xdr:to>
      <xdr:col>19</xdr:col>
      <xdr:colOff>198120</xdr:colOff>
      <xdr:row>68</xdr:row>
      <xdr:rowOff>76200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2018F3B-2271-EEFD-8B60-2D067E47951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11</xdr:col>
      <xdr:colOff>929640</xdr:colOff>
      <xdr:row>37</xdr:row>
      <xdr:rowOff>7620</xdr:rowOff>
    </xdr:from>
    <xdr:to>
      <xdr:col>19</xdr:col>
      <xdr:colOff>259080</xdr:colOff>
      <xdr:row>52</xdr:row>
      <xdr:rowOff>7620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D82A22E-8B90-A0A4-CE77-0333E07A72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2416C2-1180-4450-A3B0-0B08DD9AEC85}">
  <dimension ref="A1:L68"/>
  <sheetViews>
    <sheetView tabSelected="1" topLeftCell="A46" zoomScale="115" zoomScaleNormal="115" workbookViewId="0">
      <selection activeCell="R72" sqref="R72"/>
    </sheetView>
  </sheetViews>
  <sheetFormatPr defaultRowHeight="14.4" x14ac:dyDescent="0.3"/>
  <cols>
    <col min="1" max="1" width="12.33203125" customWidth="1"/>
    <col min="2" max="2" width="2.109375" customWidth="1"/>
    <col min="3" max="4" width="12.21875" customWidth="1"/>
    <col min="5" max="5" width="15.88671875" customWidth="1"/>
    <col min="6" max="6" width="15.6640625" customWidth="1"/>
    <col min="7" max="7" width="2.77734375" customWidth="1"/>
    <col min="8" max="11" width="13.33203125" customWidth="1"/>
    <col min="12" max="12" width="14.21875" customWidth="1"/>
  </cols>
  <sheetData>
    <row r="1" spans="1:12" x14ac:dyDescent="0.3">
      <c r="H1" s="1"/>
      <c r="I1" s="1"/>
      <c r="J1" s="1"/>
      <c r="K1" s="1"/>
    </row>
    <row r="2" spans="1:12" x14ac:dyDescent="0.3">
      <c r="C2" s="14" t="s">
        <v>2</v>
      </c>
      <c r="D2" s="14"/>
      <c r="E2" s="15"/>
      <c r="H2" s="2"/>
      <c r="I2" s="2"/>
      <c r="J2" s="2"/>
      <c r="K2" s="2"/>
    </row>
    <row r="3" spans="1:12" x14ac:dyDescent="0.3">
      <c r="C3" s="3" t="s">
        <v>4</v>
      </c>
      <c r="D3" s="3"/>
      <c r="E3" s="9"/>
      <c r="F3" s="3"/>
      <c r="H3" s="3" t="s">
        <v>3</v>
      </c>
      <c r="I3" s="3"/>
      <c r="J3" s="9"/>
      <c r="K3" s="9"/>
      <c r="L3" s="3"/>
    </row>
    <row r="4" spans="1:12" x14ac:dyDescent="0.3">
      <c r="A4" s="6" t="s">
        <v>0</v>
      </c>
      <c r="B4" s="6"/>
      <c r="C4" s="6" t="s">
        <v>1</v>
      </c>
      <c r="D4" s="6" t="s">
        <v>7</v>
      </c>
      <c r="E4" s="6" t="s">
        <v>6</v>
      </c>
      <c r="F4" s="7" t="s">
        <v>8</v>
      </c>
      <c r="G4" s="8"/>
      <c r="H4" s="6" t="s">
        <v>1</v>
      </c>
      <c r="I4" s="6" t="s">
        <v>7</v>
      </c>
      <c r="J4" s="6" t="s">
        <v>6</v>
      </c>
      <c r="K4" s="7" t="s">
        <v>8</v>
      </c>
      <c r="L4" s="7"/>
    </row>
    <row r="5" spans="1:12" x14ac:dyDescent="0.3">
      <c r="A5" s="8">
        <v>0</v>
      </c>
      <c r="B5" s="8"/>
      <c r="C5" s="16">
        <f>1.38911+0.015389</f>
        <v>1.4044990000000002</v>
      </c>
      <c r="D5" s="6"/>
      <c r="E5" s="6"/>
      <c r="F5" s="17"/>
      <c r="G5" s="8"/>
      <c r="H5" s="6"/>
      <c r="I5" s="6"/>
      <c r="J5" s="6"/>
      <c r="K5" s="17"/>
      <c r="L5" s="7"/>
    </row>
    <row r="6" spans="1:12" x14ac:dyDescent="0.3">
      <c r="A6">
        <v>0.1</v>
      </c>
      <c r="B6" s="5"/>
      <c r="C6">
        <v>1.40420707746021</v>
      </c>
      <c r="D6">
        <v>1.3831224644600999</v>
      </c>
      <c r="E6">
        <v>1.3838944628918</v>
      </c>
      <c r="F6" s="10">
        <f>E6/D6</f>
        <v>1.0005581562381762</v>
      </c>
      <c r="G6" s="4"/>
      <c r="H6">
        <v>1.4043892076542099</v>
      </c>
      <c r="I6">
        <v>1.38336349245063</v>
      </c>
      <c r="J6">
        <v>1.3838999999999999</v>
      </c>
      <c r="K6" s="10">
        <f>J6/I6</f>
        <v>1.0003878283273324</v>
      </c>
      <c r="L6" s="10"/>
    </row>
    <row r="7" spans="1:12" s="4" customFormat="1" x14ac:dyDescent="0.3">
      <c r="A7" s="4">
        <v>15</v>
      </c>
      <c r="B7" s="5"/>
      <c r="C7" s="4">
        <v>1.3978225806626601</v>
      </c>
      <c r="D7">
        <v>1.37702734478371</v>
      </c>
      <c r="E7">
        <v>1.3807100466595501</v>
      </c>
      <c r="F7" s="11">
        <f t="shared" ref="F7:F16" si="0">E7/D7</f>
        <v>1.0026743854359832</v>
      </c>
      <c r="H7" s="4">
        <v>1.3977474767840601</v>
      </c>
      <c r="I7">
        <v>1.3757277802121</v>
      </c>
      <c r="J7">
        <v>1.3794929073686799</v>
      </c>
      <c r="K7" s="11">
        <f t="shared" ref="K7:K16" si="1">J7/I7</f>
        <v>1.0027368257083531</v>
      </c>
      <c r="L7" s="11"/>
    </row>
    <row r="8" spans="1:12" x14ac:dyDescent="0.3">
      <c r="A8">
        <v>30</v>
      </c>
      <c r="B8" s="5"/>
      <c r="C8">
        <v>1.3935791421766499</v>
      </c>
      <c r="D8">
        <v>1.3755520515803401</v>
      </c>
      <c r="E8">
        <v>1.37852177249786</v>
      </c>
      <c r="F8" s="10">
        <f t="shared" si="0"/>
        <v>1.0021589302375784</v>
      </c>
      <c r="G8" s="4"/>
      <c r="H8">
        <v>1.3923333952149399</v>
      </c>
      <c r="I8">
        <v>1.3733520244906201</v>
      </c>
      <c r="J8">
        <v>1.3762808980096699</v>
      </c>
      <c r="K8" s="10">
        <f t="shared" si="1"/>
        <v>1.002132645867061</v>
      </c>
      <c r="L8" s="10"/>
    </row>
    <row r="9" spans="1:12" s="4" customFormat="1" x14ac:dyDescent="0.3">
      <c r="A9" s="4">
        <v>60</v>
      </c>
      <c r="B9" s="5"/>
      <c r="C9" s="4">
        <v>1.38536063754419</v>
      </c>
      <c r="D9">
        <v>1.3645310546268701</v>
      </c>
      <c r="E9">
        <v>1.37130071674191</v>
      </c>
      <c r="F9" s="11">
        <f t="shared" si="0"/>
        <v>1.0049611638314022</v>
      </c>
      <c r="H9" s="4">
        <v>1.3811147115786999</v>
      </c>
      <c r="I9">
        <v>1.36149933832843</v>
      </c>
      <c r="J9">
        <v>1.3675900707900199</v>
      </c>
      <c r="K9" s="11">
        <f t="shared" si="1"/>
        <v>1.004473547867506</v>
      </c>
      <c r="L9" s="11"/>
    </row>
    <row r="10" spans="1:12" x14ac:dyDescent="0.3">
      <c r="A10">
        <v>90</v>
      </c>
      <c r="B10" s="5"/>
      <c r="C10">
        <v>1.37856347972413</v>
      </c>
      <c r="D10">
        <v>1.3579435428314801</v>
      </c>
      <c r="E10">
        <v>1.3688037548163601</v>
      </c>
      <c r="F10" s="10">
        <f t="shared" si="0"/>
        <v>1.007997543080646</v>
      </c>
      <c r="G10" s="4"/>
      <c r="H10">
        <v>1.3698685473168299</v>
      </c>
      <c r="I10">
        <v>1.35117281876724</v>
      </c>
      <c r="J10">
        <v>1.3611563781376099</v>
      </c>
      <c r="K10" s="10">
        <f t="shared" si="1"/>
        <v>1.0073888101001607</v>
      </c>
      <c r="L10" s="10"/>
    </row>
    <row r="11" spans="1:12" s="4" customFormat="1" x14ac:dyDescent="0.3">
      <c r="A11" s="4">
        <v>120</v>
      </c>
      <c r="B11" s="5"/>
      <c r="C11" s="4">
        <v>1.3699400435562701</v>
      </c>
      <c r="D11">
        <v>1.3501528303570001</v>
      </c>
      <c r="E11">
        <v>1.35934291235779</v>
      </c>
      <c r="F11" s="11">
        <f t="shared" si="0"/>
        <v>1.0068066975783474</v>
      </c>
      <c r="H11" s="4">
        <v>1.35986137171571</v>
      </c>
      <c r="I11">
        <v>1.3415734947956099</v>
      </c>
      <c r="J11">
        <v>1.35251081905353</v>
      </c>
      <c r="K11" s="11">
        <f t="shared" si="1"/>
        <v>1.0081526090820587</v>
      </c>
      <c r="L11" s="11"/>
    </row>
    <row r="12" spans="1:12" x14ac:dyDescent="0.3">
      <c r="A12">
        <v>150</v>
      </c>
      <c r="B12" s="5"/>
      <c r="C12">
        <v>1.3618779251700099</v>
      </c>
      <c r="D12">
        <v>1.3433447133374901</v>
      </c>
      <c r="E12">
        <v>1.35750883426798</v>
      </c>
      <c r="F12" s="10">
        <f t="shared" si="0"/>
        <v>1.0105439212957481</v>
      </c>
      <c r="G12" s="4"/>
      <c r="H12">
        <v>1.34863286309854</v>
      </c>
      <c r="I12">
        <v>1.3311196421075699</v>
      </c>
      <c r="J12">
        <v>1.34551772504349</v>
      </c>
      <c r="K12" s="10">
        <f t="shared" si="1"/>
        <v>1.010816520529382</v>
      </c>
      <c r="L12" s="10"/>
    </row>
    <row r="13" spans="1:12" s="4" customFormat="1" x14ac:dyDescent="0.3">
      <c r="A13" s="4">
        <v>250</v>
      </c>
      <c r="B13" s="5"/>
      <c r="C13" s="4">
        <v>1.34128105403747</v>
      </c>
      <c r="D13">
        <v>1.3183641537176001</v>
      </c>
      <c r="E13">
        <v>1.33950744156537</v>
      </c>
      <c r="F13" s="11">
        <f t="shared" si="0"/>
        <v>1.0160375172429779</v>
      </c>
      <c r="H13" s="4">
        <v>1.31869938927708</v>
      </c>
      <c r="I13">
        <v>1.3013234683263499</v>
      </c>
      <c r="J13">
        <v>1.31822047972122</v>
      </c>
      <c r="K13" s="11">
        <f t="shared" si="1"/>
        <v>1.0129844821876621</v>
      </c>
      <c r="L13" s="11"/>
    </row>
    <row r="14" spans="1:12" x14ac:dyDescent="0.3">
      <c r="A14">
        <v>500</v>
      </c>
      <c r="B14" s="5"/>
      <c r="C14">
        <v>1.2896852557910301</v>
      </c>
      <c r="D14">
        <v>1.2700267746399601</v>
      </c>
      <c r="E14">
        <v>1.30526568090843</v>
      </c>
      <c r="F14" s="10">
        <f t="shared" si="0"/>
        <v>1.0277465853256991</v>
      </c>
      <c r="G14" s="4"/>
      <c r="H14">
        <v>1.24433347413396</v>
      </c>
      <c r="I14">
        <v>1.2338069312922</v>
      </c>
      <c r="J14">
        <v>1.2692076364611</v>
      </c>
      <c r="K14" s="10">
        <f t="shared" si="1"/>
        <v>1.0286922566821892</v>
      </c>
      <c r="L14" s="10"/>
    </row>
    <row r="15" spans="1:12" s="4" customFormat="1" x14ac:dyDescent="0.3">
      <c r="A15" s="4">
        <v>750</v>
      </c>
      <c r="B15" s="5"/>
      <c r="C15" s="4">
        <v>1.24225887840578</v>
      </c>
      <c r="D15">
        <v>1.2232055342510899</v>
      </c>
      <c r="E15">
        <v>1.27339468040781</v>
      </c>
      <c r="F15" s="11">
        <f t="shared" si="0"/>
        <v>1.0410308363977838</v>
      </c>
      <c r="H15" s="4">
        <v>1.1765306054398399</v>
      </c>
      <c r="I15">
        <v>1.1709175184150999</v>
      </c>
      <c r="J15">
        <v>1.21893760257761</v>
      </c>
      <c r="K15" s="11">
        <f t="shared" si="1"/>
        <v>1.0410106462729396</v>
      </c>
      <c r="L15" s="11"/>
    </row>
    <row r="16" spans="1:12" x14ac:dyDescent="0.3">
      <c r="A16">
        <v>1000</v>
      </c>
      <c r="B16" s="5"/>
      <c r="C16">
        <v>1.1938794039418501</v>
      </c>
      <c r="D16">
        <v>1.1763723210775801</v>
      </c>
      <c r="E16">
        <v>1.2402268546061399</v>
      </c>
      <c r="F16" s="10">
        <f t="shared" si="0"/>
        <v>1.0542808874235223</v>
      </c>
      <c r="G16" s="4"/>
      <c r="H16">
        <v>1.1108715265371401</v>
      </c>
      <c r="I16">
        <v>1.10875726262634</v>
      </c>
      <c r="J16">
        <v>1.17243554422976</v>
      </c>
      <c r="K16" s="10">
        <f t="shared" si="1"/>
        <v>1.0574321213036151</v>
      </c>
      <c r="L16" s="10"/>
    </row>
    <row r="20" spans="1:12" x14ac:dyDescent="0.3">
      <c r="C20" s="12" t="s">
        <v>5</v>
      </c>
      <c r="D20" s="12"/>
      <c r="E20" s="13"/>
      <c r="F20" s="13"/>
      <c r="H20" s="2"/>
      <c r="I20" s="2"/>
      <c r="J20" s="2"/>
      <c r="K20" s="2"/>
    </row>
    <row r="21" spans="1:12" x14ac:dyDescent="0.3">
      <c r="C21" s="3" t="s">
        <v>4</v>
      </c>
      <c r="D21" s="3"/>
      <c r="E21" s="9"/>
      <c r="F21" s="3"/>
      <c r="H21" s="3" t="s">
        <v>3</v>
      </c>
      <c r="I21" s="3"/>
      <c r="J21" s="9"/>
      <c r="K21" s="9"/>
      <c r="L21" s="3"/>
    </row>
    <row r="22" spans="1:12" x14ac:dyDescent="0.3">
      <c r="A22" s="6" t="s">
        <v>0</v>
      </c>
      <c r="B22" s="6"/>
      <c r="C22" s="6" t="s">
        <v>1</v>
      </c>
      <c r="D22" s="6" t="s">
        <v>7</v>
      </c>
      <c r="E22" s="6" t="s">
        <v>6</v>
      </c>
      <c r="F22" s="7" t="s">
        <v>8</v>
      </c>
      <c r="G22" s="8"/>
      <c r="H22" s="6" t="s">
        <v>1</v>
      </c>
      <c r="I22" s="6" t="s">
        <v>7</v>
      </c>
      <c r="J22" s="6" t="s">
        <v>6</v>
      </c>
      <c r="K22" s="7" t="s">
        <v>8</v>
      </c>
      <c r="L22" s="7"/>
    </row>
    <row r="23" spans="1:12" x14ac:dyDescent="0.3">
      <c r="A23">
        <v>0.1</v>
      </c>
      <c r="B23" s="5"/>
      <c r="C23" s="2">
        <v>3.52725672373683E-5</v>
      </c>
      <c r="D23" s="2">
        <v>3.4352992727381499E-5</v>
      </c>
      <c r="E23" s="2">
        <v>2.0875371825261901E-5</v>
      </c>
      <c r="F23" s="10">
        <f>E23/D23</f>
        <v>0.60767258302427063</v>
      </c>
      <c r="G23" s="4"/>
      <c r="H23" s="2">
        <v>3.2364516810043102E-5</v>
      </c>
      <c r="I23" s="2">
        <v>3.0077664875068999E-5</v>
      </c>
      <c r="J23" s="2">
        <v>2.3316099999999999E-5</v>
      </c>
      <c r="K23" s="10">
        <f>J23/I23</f>
        <v>0.77519648206887304</v>
      </c>
      <c r="L23" s="10"/>
    </row>
    <row r="24" spans="1:12" x14ac:dyDescent="0.3">
      <c r="A24" s="4">
        <v>15</v>
      </c>
      <c r="B24" s="5"/>
      <c r="C24" s="5">
        <v>5.02535867346246E-3</v>
      </c>
      <c r="D24">
        <v>4.8415021318079796E-3</v>
      </c>
      <c r="E24">
        <v>3.1726397963949501E-3</v>
      </c>
      <c r="F24" s="11">
        <f t="shared" ref="F24:F33" si="2">E24/D24</f>
        <v>0.65530071246920629</v>
      </c>
      <c r="G24" s="4"/>
      <c r="H24">
        <v>4.7442437671726999E-3</v>
      </c>
      <c r="I24">
        <v>4.41670217006298E-3</v>
      </c>
      <c r="J24">
        <v>3.5370383339396899E-3</v>
      </c>
      <c r="K24" s="11">
        <f t="shared" ref="K24:K33" si="3">J24/I24</f>
        <v>0.80083243056645892</v>
      </c>
      <c r="L24" s="11"/>
    </row>
    <row r="25" spans="1:12" x14ac:dyDescent="0.3">
      <c r="A25">
        <v>30</v>
      </c>
      <c r="B25" s="5"/>
      <c r="C25" s="2">
        <v>9.6096776712520909E-3</v>
      </c>
      <c r="D25">
        <v>9.3736870838320892E-3</v>
      </c>
      <c r="E25">
        <v>6.3510742712361698E-3</v>
      </c>
      <c r="F25" s="10">
        <f t="shared" si="2"/>
        <v>0.67754280833532643</v>
      </c>
      <c r="G25" s="4"/>
      <c r="H25">
        <v>9.3381817414101998E-3</v>
      </c>
      <c r="I25">
        <v>8.6773810916228808E-3</v>
      </c>
      <c r="J25">
        <v>7.1080498826678901E-3</v>
      </c>
      <c r="K25" s="10">
        <f t="shared" si="3"/>
        <v>0.81914690706968962</v>
      </c>
      <c r="L25" s="10"/>
    </row>
    <row r="26" spans="1:12" x14ac:dyDescent="0.3">
      <c r="A26" s="4">
        <v>60</v>
      </c>
      <c r="B26" s="5"/>
      <c r="C26" s="5">
        <v>1.7956202904139199E-2</v>
      </c>
      <c r="D26">
        <v>1.7499246818678899E-2</v>
      </c>
      <c r="E26">
        <v>1.25132922386715E-2</v>
      </c>
      <c r="F26" s="11">
        <f t="shared" si="2"/>
        <v>0.7150760468910391</v>
      </c>
      <c r="G26" s="4"/>
      <c r="H26">
        <v>1.8093633576609602E-2</v>
      </c>
      <c r="I26">
        <v>1.6825678983851101E-2</v>
      </c>
      <c r="J26">
        <v>1.39074464086831E-2</v>
      </c>
      <c r="K26" s="11">
        <f t="shared" si="3"/>
        <v>0.82656078378953657</v>
      </c>
      <c r="L26" s="11"/>
    </row>
    <row r="27" spans="1:12" x14ac:dyDescent="0.3">
      <c r="A27">
        <v>90</v>
      </c>
      <c r="B27" s="5"/>
      <c r="C27" s="2">
        <v>2.54716677488637E-2</v>
      </c>
      <c r="D27">
        <v>2.48286557998008E-2</v>
      </c>
      <c r="E27">
        <v>1.8460059811568001E-2</v>
      </c>
      <c r="F27" s="10">
        <f t="shared" si="2"/>
        <v>0.74349815634063066</v>
      </c>
      <c r="G27" s="4"/>
      <c r="H27">
        <v>2.63480432958439E-2</v>
      </c>
      <c r="I27">
        <v>2.45310107988954E-2</v>
      </c>
      <c r="J27">
        <v>2.0720356978390701E-2</v>
      </c>
      <c r="K27" s="10">
        <f t="shared" si="3"/>
        <v>0.84465973083032153</v>
      </c>
      <c r="L27" s="10"/>
    </row>
    <row r="28" spans="1:12" x14ac:dyDescent="0.3">
      <c r="A28" s="4">
        <v>120</v>
      </c>
      <c r="B28" s="5"/>
      <c r="C28" s="5">
        <v>3.2417642839879697E-2</v>
      </c>
      <c r="D28">
        <v>3.1708222423746601E-2</v>
      </c>
      <c r="E28">
        <v>2.4237248335804401E-2</v>
      </c>
      <c r="F28" s="11">
        <f t="shared" si="2"/>
        <v>0.76438369871068157</v>
      </c>
      <c r="G28" s="4"/>
      <c r="H28">
        <v>3.4169678168819703E-2</v>
      </c>
      <c r="I28">
        <v>3.2010350694294497E-2</v>
      </c>
      <c r="J28">
        <v>2.7239567384599199E-2</v>
      </c>
      <c r="K28" s="11">
        <f t="shared" si="3"/>
        <v>0.8509612295329948</v>
      </c>
      <c r="L28" s="11"/>
    </row>
    <row r="29" spans="1:12" x14ac:dyDescent="0.3">
      <c r="A29">
        <v>150</v>
      </c>
      <c r="B29" s="5"/>
      <c r="C29" s="2">
        <v>3.9055212834252402E-2</v>
      </c>
      <c r="D29">
        <v>3.8101638451620401E-2</v>
      </c>
      <c r="E29">
        <v>2.9995859491649599E-2</v>
      </c>
      <c r="F29" s="10">
        <f t="shared" si="2"/>
        <v>0.78725904477144404</v>
      </c>
      <c r="G29" s="4"/>
      <c r="H29">
        <v>4.1796462699614498E-2</v>
      </c>
      <c r="I29">
        <v>3.8938267233086299E-2</v>
      </c>
      <c r="J29">
        <v>3.3615774527897199E-2</v>
      </c>
      <c r="K29" s="10">
        <f t="shared" si="3"/>
        <v>0.86330946178656565</v>
      </c>
      <c r="L29" s="10"/>
    </row>
    <row r="30" spans="1:12" x14ac:dyDescent="0.3">
      <c r="A30" s="4">
        <v>250</v>
      </c>
      <c r="B30" s="5"/>
      <c r="C30" s="5">
        <v>5.8983323870902299E-2</v>
      </c>
      <c r="D30">
        <v>5.7845592896108598E-2</v>
      </c>
      <c r="E30">
        <v>4.8211591891219499E-2</v>
      </c>
      <c r="F30" s="11">
        <f t="shared" si="2"/>
        <v>0.83345315481177829</v>
      </c>
      <c r="G30" s="4"/>
      <c r="H30">
        <v>6.5796691976300697E-2</v>
      </c>
      <c r="I30">
        <v>6.12659256159543E-2</v>
      </c>
      <c r="J30">
        <v>5.4039519059736599E-2</v>
      </c>
      <c r="K30" s="11">
        <f t="shared" si="3"/>
        <v>0.88204852071416562</v>
      </c>
      <c r="L30" s="11"/>
    </row>
    <row r="31" spans="1:12" x14ac:dyDescent="0.3">
      <c r="A31">
        <v>500</v>
      </c>
      <c r="B31" s="5"/>
      <c r="C31" s="2">
        <v>0.103595084893309</v>
      </c>
      <c r="D31">
        <v>0.101681976801287</v>
      </c>
      <c r="E31">
        <v>8.9687488426909795E-2</v>
      </c>
      <c r="F31" s="10">
        <f t="shared" si="2"/>
        <v>0.88203918971975193</v>
      </c>
      <c r="G31" s="4"/>
      <c r="H31">
        <v>0.11839645185777101</v>
      </c>
      <c r="I31">
        <v>0.111333610679465</v>
      </c>
      <c r="J31">
        <v>0.10049617393209</v>
      </c>
      <c r="K31" s="10">
        <f t="shared" si="3"/>
        <v>0.90265799625796272</v>
      </c>
      <c r="L31" s="10"/>
    </row>
    <row r="32" spans="1:12" x14ac:dyDescent="0.3">
      <c r="A32" s="4">
        <v>750</v>
      </c>
      <c r="B32" s="5"/>
      <c r="C32" s="5">
        <v>0.14519436153500101</v>
      </c>
      <c r="D32">
        <v>0.142175529915751</v>
      </c>
      <c r="E32">
        <v>0.127241075651779</v>
      </c>
      <c r="F32" s="11">
        <f t="shared" si="2"/>
        <v>0.89495763249258353</v>
      </c>
      <c r="G32" s="4"/>
      <c r="H32">
        <v>0.165934052581929</v>
      </c>
      <c r="I32">
        <v>0.15627146301212599</v>
      </c>
      <c r="J32">
        <v>0.14163041239443799</v>
      </c>
      <c r="K32" s="11">
        <f t="shared" si="3"/>
        <v>0.90631014559227674</v>
      </c>
      <c r="L32" s="11"/>
    </row>
    <row r="33" spans="1:12" x14ac:dyDescent="0.3">
      <c r="A33">
        <v>1000</v>
      </c>
      <c r="B33" s="5"/>
      <c r="C33" s="2">
        <v>0.185920101577397</v>
      </c>
      <c r="D33">
        <v>0.18161105406700601</v>
      </c>
      <c r="E33">
        <v>0.16239985928431699</v>
      </c>
      <c r="F33" s="10">
        <f t="shared" si="2"/>
        <v>0.8942179214729904</v>
      </c>
      <c r="G33" s="4"/>
      <c r="H33">
        <v>0.211237572970251</v>
      </c>
      <c r="I33">
        <v>0.197961811715788</v>
      </c>
      <c r="J33">
        <v>0.17883044593994399</v>
      </c>
      <c r="K33" s="10">
        <f t="shared" si="3"/>
        <v>0.90335830122978089</v>
      </c>
      <c r="L33" s="10"/>
    </row>
    <row r="37" spans="1:12" x14ac:dyDescent="0.3">
      <c r="C37" s="1" t="s">
        <v>9</v>
      </c>
    </row>
    <row r="38" spans="1:12" x14ac:dyDescent="0.3">
      <c r="C38" s="14" t="s">
        <v>2</v>
      </c>
      <c r="D38" s="14"/>
      <c r="E38" s="15"/>
      <c r="H38" s="2"/>
      <c r="I38" s="2"/>
      <c r="J38" s="2"/>
      <c r="K38" s="2"/>
    </row>
    <row r="39" spans="1:12" x14ac:dyDescent="0.3">
      <c r="C39" s="3" t="s">
        <v>4</v>
      </c>
      <c r="D39" s="3"/>
      <c r="E39" s="9"/>
      <c r="F39" s="3"/>
      <c r="H39" s="3" t="s">
        <v>3</v>
      </c>
      <c r="I39" s="3"/>
      <c r="J39" s="9"/>
      <c r="K39" s="9"/>
    </row>
    <row r="40" spans="1:12" x14ac:dyDescent="0.3">
      <c r="A40" s="6" t="s">
        <v>0</v>
      </c>
      <c r="B40" s="6"/>
      <c r="C40" s="6" t="s">
        <v>1</v>
      </c>
      <c r="D40" s="6" t="s">
        <v>7</v>
      </c>
      <c r="E40" s="6" t="s">
        <v>6</v>
      </c>
      <c r="F40" s="7" t="s">
        <v>8</v>
      </c>
      <c r="G40" s="8"/>
      <c r="H40" s="6" t="s">
        <v>1</v>
      </c>
      <c r="I40" s="6" t="s">
        <v>7</v>
      </c>
      <c r="J40" s="6" t="s">
        <v>6</v>
      </c>
      <c r="K40" s="7" t="s">
        <v>8</v>
      </c>
    </row>
    <row r="41" spans="1:12" x14ac:dyDescent="0.3">
      <c r="A41">
        <v>0.1</v>
      </c>
      <c r="B41" s="5"/>
      <c r="C41">
        <v>1.38755773111088</v>
      </c>
      <c r="D41">
        <v>1.3354353849754901</v>
      </c>
      <c r="E41">
        <v>1.33571066860882</v>
      </c>
      <c r="F41" s="10">
        <f>E41/D41</f>
        <v>1.0002061377408649</v>
      </c>
      <c r="G41" s="4"/>
      <c r="I41">
        <v>1.3355902411931799</v>
      </c>
      <c r="J41">
        <v>1.33570664006712</v>
      </c>
      <c r="K41" s="10">
        <f>J41/I41</f>
        <v>1.0000871516355467</v>
      </c>
    </row>
    <row r="42" spans="1:12" x14ac:dyDescent="0.3">
      <c r="A42" s="4">
        <v>15</v>
      </c>
      <c r="B42" s="5"/>
      <c r="C42">
        <v>1.38409520401011</v>
      </c>
      <c r="D42">
        <v>1.3305745989353699</v>
      </c>
      <c r="E42">
        <v>1.3291243406104201</v>
      </c>
      <c r="F42" s="11">
        <f t="shared" ref="F42:F51" si="4">E42/D42</f>
        <v>0.99891005109663888</v>
      </c>
      <c r="G42" s="4"/>
      <c r="H42" s="4"/>
      <c r="I42">
        <v>1.3283272840070699</v>
      </c>
      <c r="J42">
        <v>1.32707241565139</v>
      </c>
      <c r="K42" s="11">
        <f t="shared" ref="K42:K51" si="5">J42/I42</f>
        <v>0.99905530182900826</v>
      </c>
    </row>
    <row r="43" spans="1:12" x14ac:dyDescent="0.3">
      <c r="A43">
        <v>30</v>
      </c>
      <c r="B43" s="5"/>
      <c r="C43">
        <v>1.3811622398640599</v>
      </c>
      <c r="D43">
        <v>1.3310144038562199</v>
      </c>
      <c r="E43">
        <v>1.3285615218559801</v>
      </c>
      <c r="F43" s="10">
        <f t="shared" si="4"/>
        <v>0.99815713339154455</v>
      </c>
      <c r="G43" s="4"/>
      <c r="I43">
        <v>1.32510611680532</v>
      </c>
      <c r="J43">
        <v>1.3232823680411001</v>
      </c>
      <c r="K43" s="10">
        <f t="shared" si="5"/>
        <v>0.9986236960639675</v>
      </c>
    </row>
    <row r="44" spans="1:12" x14ac:dyDescent="0.3">
      <c r="A44" s="4">
        <v>60</v>
      </c>
      <c r="B44" s="5"/>
      <c r="C44">
        <v>1.37486493369789</v>
      </c>
      <c r="D44">
        <v>1.32588118290715</v>
      </c>
      <c r="E44">
        <v>1.3260681746726899</v>
      </c>
      <c r="F44" s="11">
        <f t="shared" si="4"/>
        <v>1.0001410320682957</v>
      </c>
      <c r="G44" s="4"/>
      <c r="H44" s="4"/>
      <c r="I44">
        <v>1.3187223856414001</v>
      </c>
      <c r="J44">
        <v>1.31770759949175</v>
      </c>
      <c r="K44" s="11">
        <f t="shared" si="5"/>
        <v>0.99923047780131791</v>
      </c>
    </row>
    <row r="45" spans="1:12" x14ac:dyDescent="0.3">
      <c r="A45">
        <v>90</v>
      </c>
      <c r="B45" s="5"/>
      <c r="C45">
        <v>1.36350384779266</v>
      </c>
      <c r="D45">
        <v>1.3250331310758601</v>
      </c>
      <c r="E45">
        <v>1.32283704671966</v>
      </c>
      <c r="F45" s="10">
        <f t="shared" si="4"/>
        <v>0.99834261928649515</v>
      </c>
      <c r="G45" s="4"/>
      <c r="I45">
        <v>1.3124798292895099</v>
      </c>
      <c r="J45">
        <v>1.3112535491322701</v>
      </c>
      <c r="K45" s="10">
        <f t="shared" si="5"/>
        <v>0.99906567694994319</v>
      </c>
    </row>
    <row r="46" spans="1:12" x14ac:dyDescent="0.3">
      <c r="A46" s="4">
        <v>120</v>
      </c>
      <c r="B46" s="5"/>
      <c r="C46">
        <v>1.3571706170428599</v>
      </c>
      <c r="D46">
        <v>1.3186752377537301</v>
      </c>
      <c r="E46">
        <v>1.31925522687803</v>
      </c>
      <c r="F46" s="11">
        <f t="shared" si="4"/>
        <v>1.000439827114133</v>
      </c>
      <c r="G46" s="4"/>
      <c r="H46" s="4"/>
      <c r="I46">
        <v>1.3033297752905399</v>
      </c>
      <c r="J46">
        <v>1.3019564075099299</v>
      </c>
      <c r="K46" s="11">
        <f t="shared" si="5"/>
        <v>0.99894626225330896</v>
      </c>
    </row>
    <row r="47" spans="1:12" x14ac:dyDescent="0.3">
      <c r="A47">
        <v>150</v>
      </c>
      <c r="B47" s="5"/>
      <c r="C47">
        <v>1.35109721915133</v>
      </c>
      <c r="D47">
        <v>1.3162252475838401</v>
      </c>
      <c r="E47">
        <v>1.3162028531863199</v>
      </c>
      <c r="F47" s="10">
        <f t="shared" si="4"/>
        <v>0.99998298589275558</v>
      </c>
      <c r="G47" s="4"/>
      <c r="I47">
        <v>1.29663015170481</v>
      </c>
      <c r="J47">
        <v>1.2969552292914901</v>
      </c>
      <c r="K47" s="10">
        <f t="shared" si="5"/>
        <v>1.0002507095691495</v>
      </c>
    </row>
    <row r="48" spans="1:12" x14ac:dyDescent="0.3">
      <c r="A48" s="4">
        <v>250</v>
      </c>
      <c r="B48" s="5"/>
      <c r="C48">
        <v>1.32844051248484</v>
      </c>
      <c r="D48">
        <v>1.30260068538983</v>
      </c>
      <c r="E48">
        <v>1.3066950650451801</v>
      </c>
      <c r="F48" s="11">
        <f t="shared" si="4"/>
        <v>1.0031432346852518</v>
      </c>
      <c r="G48" s="4"/>
      <c r="H48" s="4"/>
      <c r="I48">
        <v>1.2708609670523101</v>
      </c>
      <c r="J48">
        <v>1.27351639583336</v>
      </c>
      <c r="K48" s="11">
        <f t="shared" si="5"/>
        <v>1.0020894722946829</v>
      </c>
    </row>
    <row r="49" spans="1:11" x14ac:dyDescent="0.3">
      <c r="A49">
        <v>500</v>
      </c>
      <c r="B49" s="5"/>
      <c r="C49">
        <v>1.26939305918802</v>
      </c>
      <c r="D49">
        <v>1.26652819252339</v>
      </c>
      <c r="E49">
        <v>1.2763205188269799</v>
      </c>
      <c r="F49" s="10">
        <f t="shared" si="4"/>
        <v>1.0077316291586689</v>
      </c>
      <c r="G49" s="4"/>
      <c r="I49">
        <v>1.2073775660257999</v>
      </c>
      <c r="J49">
        <v>1.2155197343022801</v>
      </c>
      <c r="K49" s="10">
        <f t="shared" si="5"/>
        <v>1.0067436802749954</v>
      </c>
    </row>
    <row r="50" spans="1:11" x14ac:dyDescent="0.3">
      <c r="A50" s="4">
        <v>750</v>
      </c>
      <c r="B50" s="5"/>
      <c r="C50">
        <v>1.2146497361047901</v>
      </c>
      <c r="D50">
        <v>1.2257285387942201</v>
      </c>
      <c r="E50">
        <v>1.2402498141564899</v>
      </c>
      <c r="F50" s="11">
        <f t="shared" si="4"/>
        <v>1.0118470565893447</v>
      </c>
      <c r="G50" s="4"/>
      <c r="H50" s="4"/>
      <c r="I50">
        <v>1.1403490012176101</v>
      </c>
      <c r="J50">
        <v>1.15185236456864</v>
      </c>
      <c r="K50" s="11">
        <f t="shared" si="5"/>
        <v>1.0100875813796892</v>
      </c>
    </row>
    <row r="51" spans="1:11" x14ac:dyDescent="0.3">
      <c r="A51">
        <v>1000</v>
      </c>
      <c r="B51" s="5"/>
      <c r="C51">
        <v>1.1436421352186501</v>
      </c>
      <c r="D51">
        <v>1.1781818408587099</v>
      </c>
      <c r="E51">
        <v>1.19775360779693</v>
      </c>
      <c r="F51" s="10">
        <f t="shared" si="4"/>
        <v>1.0166118389025205</v>
      </c>
      <c r="G51" s="4"/>
      <c r="I51">
        <v>1.072078850564</v>
      </c>
      <c r="J51">
        <v>1.0876143945201899</v>
      </c>
      <c r="K51" s="10">
        <f t="shared" si="5"/>
        <v>1.0144910460158942</v>
      </c>
    </row>
    <row r="55" spans="1:11" x14ac:dyDescent="0.3">
      <c r="C55" s="12" t="s">
        <v>5</v>
      </c>
      <c r="D55" s="12"/>
      <c r="E55" s="13"/>
      <c r="F55" s="13"/>
      <c r="H55" s="2"/>
      <c r="I55" s="2"/>
      <c r="J55" s="2"/>
      <c r="K55" s="2"/>
    </row>
    <row r="56" spans="1:11" x14ac:dyDescent="0.3">
      <c r="C56" s="3" t="s">
        <v>4</v>
      </c>
      <c r="D56" s="3"/>
      <c r="E56" s="9"/>
      <c r="F56" s="3"/>
      <c r="H56" s="3" t="s">
        <v>3</v>
      </c>
      <c r="I56" s="3"/>
      <c r="J56" s="9"/>
      <c r="K56" s="9"/>
    </row>
    <row r="57" spans="1:11" x14ac:dyDescent="0.3">
      <c r="A57" s="6" t="s">
        <v>0</v>
      </c>
      <c r="B57" s="6"/>
      <c r="C57" s="6" t="s">
        <v>1</v>
      </c>
      <c r="D57" s="6" t="s">
        <v>7</v>
      </c>
      <c r="E57" s="6" t="s">
        <v>6</v>
      </c>
      <c r="F57" s="7" t="s">
        <v>8</v>
      </c>
      <c r="G57" s="8"/>
      <c r="H57" s="6" t="s">
        <v>1</v>
      </c>
      <c r="I57" s="6" t="s">
        <v>7</v>
      </c>
      <c r="J57" s="6" t="s">
        <v>6</v>
      </c>
      <c r="K57" s="7" t="s">
        <v>8</v>
      </c>
    </row>
    <row r="58" spans="1:11" x14ac:dyDescent="0.3">
      <c r="A58">
        <v>0.1</v>
      </c>
      <c r="B58" s="5"/>
      <c r="C58" s="2">
        <v>2.0906018648200899E-5</v>
      </c>
      <c r="D58" s="2">
        <v>2.0018619481595599E-5</v>
      </c>
      <c r="E58" s="2">
        <v>2.04228717705638E-5</v>
      </c>
      <c r="F58" s="10">
        <f>E58/D58</f>
        <v>1.0201938145305103</v>
      </c>
      <c r="G58" s="4"/>
      <c r="H58" s="2"/>
      <c r="I58" s="2">
        <v>2.4434932696069799E-5</v>
      </c>
      <c r="J58" s="2">
        <v>2.5518609602937599E-5</v>
      </c>
      <c r="K58" s="10">
        <f>J58/I58</f>
        <v>1.0443494942403546</v>
      </c>
    </row>
    <row r="59" spans="1:11" x14ac:dyDescent="0.3">
      <c r="A59" s="4">
        <v>15</v>
      </c>
      <c r="B59" s="5"/>
      <c r="C59" s="2">
        <v>3.1327203465188001E-3</v>
      </c>
      <c r="D59">
        <v>2.9966209956305001E-3</v>
      </c>
      <c r="E59">
        <v>3.14006419786265E-3</v>
      </c>
      <c r="F59" s="11">
        <f t="shared" ref="F59:F68" si="6">E59/D59</f>
        <v>1.0478683164942482</v>
      </c>
      <c r="G59" s="4"/>
      <c r="I59">
        <v>3.6561489620800698E-3</v>
      </c>
      <c r="J59">
        <v>3.8583728177792702E-3</v>
      </c>
      <c r="K59" s="11">
        <f t="shared" ref="K59:K68" si="7">J59/I59</f>
        <v>1.0553106172085915</v>
      </c>
    </row>
    <row r="60" spans="1:11" x14ac:dyDescent="0.3">
      <c r="A60">
        <v>30</v>
      </c>
      <c r="B60" s="5"/>
      <c r="C60" s="2">
        <v>6.2691724987101998E-3</v>
      </c>
      <c r="D60">
        <v>6.0122469256428399E-3</v>
      </c>
      <c r="E60">
        <v>6.2971023902297701E-3</v>
      </c>
      <c r="F60" s="10">
        <f t="shared" si="6"/>
        <v>1.0473792025028101</v>
      </c>
      <c r="G60" s="4"/>
      <c r="I60">
        <v>7.3167786817070497E-3</v>
      </c>
      <c r="J60">
        <v>7.7206053021012903E-3</v>
      </c>
      <c r="K60" s="10">
        <f t="shared" si="7"/>
        <v>1.0551918594181156</v>
      </c>
    </row>
    <row r="61" spans="1:11" x14ac:dyDescent="0.3">
      <c r="A61" s="4">
        <v>60</v>
      </c>
      <c r="B61" s="5"/>
      <c r="C61" s="2">
        <v>1.2558983712415E-2</v>
      </c>
      <c r="D61">
        <v>1.2036181905772299E-2</v>
      </c>
      <c r="E61">
        <v>1.26843202591898E-2</v>
      </c>
      <c r="F61" s="11">
        <f t="shared" si="6"/>
        <v>1.053849165664958</v>
      </c>
      <c r="G61" s="4"/>
      <c r="I61">
        <v>1.4655010559957399E-2</v>
      </c>
      <c r="J61">
        <v>1.54708347850845E-2</v>
      </c>
      <c r="K61" s="11">
        <f t="shared" si="7"/>
        <v>1.0556686207621178</v>
      </c>
    </row>
    <row r="62" spans="1:11" x14ac:dyDescent="0.3">
      <c r="A62">
        <v>90</v>
      </c>
      <c r="B62" s="5"/>
      <c r="C62" s="2">
        <v>1.8782496824776201E-2</v>
      </c>
      <c r="D62">
        <v>1.81922730031659E-2</v>
      </c>
      <c r="E62">
        <v>1.9125340454343599E-2</v>
      </c>
      <c r="F62" s="10">
        <f t="shared" si="6"/>
        <v>1.051289217736306</v>
      </c>
      <c r="G62" s="4"/>
      <c r="I62">
        <v>2.20520227131588E-2</v>
      </c>
      <c r="J62">
        <v>2.3279563002525702E-2</v>
      </c>
      <c r="K62" s="10">
        <f t="shared" si="7"/>
        <v>1.0556656550437167</v>
      </c>
    </row>
    <row r="63" spans="1:11" x14ac:dyDescent="0.3">
      <c r="A63" s="4">
        <v>120</v>
      </c>
      <c r="B63" s="5"/>
      <c r="C63" s="2">
        <v>2.51046376970986E-2</v>
      </c>
      <c r="D63">
        <v>2.42950363565053E-2</v>
      </c>
      <c r="E63">
        <v>2.55954016873969E-2</v>
      </c>
      <c r="F63" s="11">
        <f t="shared" si="6"/>
        <v>1.0535239096501048</v>
      </c>
      <c r="G63" s="4"/>
      <c r="I63">
        <v>2.9379142051595902E-2</v>
      </c>
      <c r="J63">
        <v>3.0966693098777899E-2</v>
      </c>
      <c r="K63" s="11">
        <f t="shared" si="7"/>
        <v>1.0540366714723639</v>
      </c>
    </row>
    <row r="64" spans="1:11" x14ac:dyDescent="0.3">
      <c r="A64">
        <v>150</v>
      </c>
      <c r="B64" s="5"/>
      <c r="C64" s="2">
        <v>3.1476119846668899E-2</v>
      </c>
      <c r="D64">
        <v>3.0568379602756501E-2</v>
      </c>
      <c r="E64">
        <v>3.2160454077141201E-2</v>
      </c>
      <c r="F64" s="10">
        <f t="shared" si="6"/>
        <v>1.0520823967470339</v>
      </c>
      <c r="G64" s="4"/>
      <c r="I64">
        <v>3.6804448452257998E-2</v>
      </c>
      <c r="J64">
        <v>3.8844686371276298E-2</v>
      </c>
      <c r="K64" s="10">
        <f t="shared" si="7"/>
        <v>1.0554345467685748</v>
      </c>
    </row>
    <row r="65" spans="1:11" x14ac:dyDescent="0.3">
      <c r="A65" s="4">
        <v>250</v>
      </c>
      <c r="B65" s="5"/>
      <c r="C65" s="2">
        <v>5.2878603388737497E-2</v>
      </c>
      <c r="D65">
        <v>5.1688372196524002E-2</v>
      </c>
      <c r="E65">
        <v>5.4514904682317102E-2</v>
      </c>
      <c r="F65" s="11">
        <f t="shared" si="6"/>
        <v>1.0546841071923558</v>
      </c>
      <c r="G65" s="4"/>
      <c r="I65">
        <v>6.1567552933483601E-2</v>
      </c>
      <c r="J65">
        <v>6.4958585716827305E-2</v>
      </c>
      <c r="K65" s="11">
        <f t="shared" si="7"/>
        <v>1.0550782453057264</v>
      </c>
    </row>
    <row r="66" spans="1:11" x14ac:dyDescent="0.3">
      <c r="A66">
        <v>500</v>
      </c>
      <c r="B66" s="5"/>
      <c r="C66" s="2">
        <v>0.107716927588289</v>
      </c>
      <c r="D66">
        <v>0.107312205249392</v>
      </c>
      <c r="E66">
        <v>0.11284726504879</v>
      </c>
      <c r="F66" s="10">
        <f t="shared" si="6"/>
        <v>1.0515790332193304</v>
      </c>
      <c r="G66" s="4"/>
      <c r="I66">
        <v>0.124585487877085</v>
      </c>
      <c r="J66">
        <v>0.13088073929294</v>
      </c>
      <c r="K66" s="10">
        <f t="shared" si="7"/>
        <v>1.0505295722890764</v>
      </c>
    </row>
    <row r="67" spans="1:11" x14ac:dyDescent="0.3">
      <c r="A67" s="4">
        <v>750</v>
      </c>
      <c r="B67" s="5"/>
      <c r="C67" s="2">
        <v>0.16515386445267599</v>
      </c>
      <c r="D67">
        <v>0.166593474221475</v>
      </c>
      <c r="E67">
        <v>0.17437302973664801</v>
      </c>
      <c r="F67" s="11">
        <f t="shared" si="6"/>
        <v>1.0466978406658991</v>
      </c>
      <c r="G67" s="4"/>
      <c r="I67">
        <v>0.188315720076114</v>
      </c>
      <c r="J67">
        <v>0.19671890522285099</v>
      </c>
      <c r="K67" s="11">
        <f t="shared" si="7"/>
        <v>1.0446228554012409</v>
      </c>
    </row>
    <row r="68" spans="1:11" x14ac:dyDescent="0.3">
      <c r="A68">
        <v>1000</v>
      </c>
      <c r="B68" s="5"/>
      <c r="C68" s="2">
        <v>0.22114304090137801</v>
      </c>
      <c r="D68">
        <v>0.22843742858074301</v>
      </c>
      <c r="E68">
        <v>0.23785710518924499</v>
      </c>
      <c r="F68" s="10">
        <f t="shared" si="6"/>
        <v>1.0412352593312988</v>
      </c>
      <c r="G68" s="4"/>
      <c r="I68">
        <v>0.25212873564071397</v>
      </c>
      <c r="J68">
        <v>0.26159631710660702</v>
      </c>
      <c r="K68" s="10">
        <f t="shared" si="7"/>
        <v>1.0375505847908761</v>
      </c>
    </row>
  </sheetData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Patrick Park</dc:creator>
  <cp:lastModifiedBy>Patrick Park</cp:lastModifiedBy>
  <dcterms:created xsi:type="dcterms:W3CDTF">2015-06-05T18:17:20Z</dcterms:created>
  <dcterms:modified xsi:type="dcterms:W3CDTF">2026-04-01T07:51:11Z</dcterms:modified>
</cp:coreProperties>
</file>