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9AB2CA5D-4A5C-4C3D-AD30-BA95464744A9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3" l="1"/>
  <c r="K74" i="3"/>
  <c r="K89" i="3"/>
  <c r="K88" i="3"/>
  <c r="K87" i="3"/>
  <c r="K86" i="3"/>
  <c r="K85" i="3"/>
  <c r="K84" i="3"/>
  <c r="K83" i="3"/>
  <c r="K82" i="3"/>
  <c r="K81" i="3"/>
  <c r="K80" i="3"/>
  <c r="K79" i="3"/>
  <c r="F63" i="3"/>
  <c r="F80" i="3" s="1"/>
  <c r="F64" i="3"/>
  <c r="F81" i="3" s="1"/>
  <c r="F65" i="3"/>
  <c r="F82" i="3" s="1"/>
  <c r="F66" i="3"/>
  <c r="F83" i="3" s="1"/>
  <c r="F67" i="3"/>
  <c r="F84" i="3" s="1"/>
  <c r="F68" i="3"/>
  <c r="F85" i="3" s="1"/>
  <c r="F69" i="3"/>
  <c r="F86" i="3" s="1"/>
  <c r="F70" i="3"/>
  <c r="F87" i="3" s="1"/>
  <c r="F71" i="3"/>
  <c r="F88" i="3" s="1"/>
  <c r="F72" i="3"/>
  <c r="F89" i="3" s="1"/>
  <c r="F73" i="3"/>
  <c r="F90" i="3" s="1"/>
  <c r="F74" i="3"/>
  <c r="F91" i="3" s="1"/>
  <c r="F45" i="3"/>
  <c r="F46" i="3"/>
  <c r="F47" i="3"/>
  <c r="F48" i="3"/>
  <c r="F49" i="3"/>
  <c r="F50" i="3"/>
  <c r="F51" i="3"/>
  <c r="F52" i="3"/>
  <c r="F53" i="3"/>
  <c r="F54" i="3"/>
  <c r="F55" i="3"/>
  <c r="F56" i="3"/>
  <c r="F25" i="3"/>
  <c r="F26" i="3"/>
  <c r="F27" i="3"/>
  <c r="F28" i="3"/>
  <c r="F29" i="3"/>
  <c r="F30" i="3"/>
  <c r="F31" i="3"/>
  <c r="F32" i="3"/>
  <c r="F33" i="3"/>
  <c r="F34" i="3"/>
  <c r="F35" i="3"/>
  <c r="F36" i="3"/>
  <c r="K25" i="3"/>
  <c r="K26" i="3"/>
  <c r="K27" i="3"/>
  <c r="K28" i="3"/>
  <c r="K29" i="3"/>
  <c r="K30" i="3"/>
  <c r="K31" i="3"/>
  <c r="K32" i="3"/>
  <c r="K33" i="3"/>
  <c r="K34" i="3"/>
  <c r="K35" i="3"/>
  <c r="K36" i="3"/>
  <c r="K6" i="3"/>
  <c r="K7" i="3"/>
  <c r="K8" i="3"/>
  <c r="K9" i="3"/>
  <c r="K10" i="3"/>
  <c r="K11" i="3"/>
  <c r="K12" i="3"/>
  <c r="K13" i="3"/>
  <c r="K14" i="3"/>
  <c r="K15" i="3"/>
  <c r="K16" i="3"/>
  <c r="K17" i="3"/>
  <c r="F6" i="3"/>
  <c r="F7" i="3"/>
  <c r="F8" i="3"/>
  <c r="F9" i="3"/>
  <c r="F10" i="3"/>
  <c r="F11" i="3"/>
  <c r="F12" i="3"/>
  <c r="F13" i="3"/>
  <c r="F14" i="3"/>
  <c r="F15" i="3"/>
  <c r="F16" i="3"/>
  <c r="F17" i="3"/>
  <c r="K72" i="3"/>
  <c r="K71" i="3"/>
  <c r="K70" i="3"/>
  <c r="K69" i="3"/>
  <c r="K68" i="3"/>
  <c r="K67" i="3"/>
  <c r="K66" i="3"/>
  <c r="K65" i="3"/>
  <c r="K64" i="3"/>
  <c r="K63" i="3"/>
  <c r="K62" i="3"/>
  <c r="F62" i="3"/>
  <c r="F79" i="3" s="1"/>
  <c r="K54" i="3"/>
  <c r="K53" i="3"/>
  <c r="K52" i="3"/>
  <c r="K51" i="3"/>
  <c r="K50" i="3"/>
  <c r="K49" i="3"/>
  <c r="K48" i="3"/>
  <c r="K47" i="3"/>
  <c r="K46" i="3"/>
  <c r="K45" i="3"/>
  <c r="K44" i="3"/>
  <c r="F44" i="3"/>
  <c r="K24" i="3"/>
  <c r="K5" i="3"/>
  <c r="F24" i="3" l="1"/>
  <c r="F5" i="3" l="1"/>
</calcChain>
</file>

<file path=xl/sharedStrings.xml><?xml version="1.0" encoding="utf-8"?>
<sst xmlns="http://schemas.openxmlformats.org/spreadsheetml/2006/main" count="61" uniqueCount="11">
  <si>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</si>
  <si>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</si>
  <si>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</si>
  <si>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</si>
  <si>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</si>
  <si>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</si>
  <si>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</si>
  <si>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</si>
  <si>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</si>
  <si>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</si>
  <si>
    <t>FISSILE PRODUCTION RATE ERROR PROPAGATION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</si>
</sst>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1'!$F$24:$F$36</c:f>
              <c:numCache>
                <c:formatCode>0.000000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1'!$K$24:$K$36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1'!$F$5:$F$17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1'!$K$5:$K$17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1'!$F$61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1'!$A$62:$A$74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1'!$F$62:$F$74</c:f>
              <c:numCache>
                <c:formatCode>0.000000</c:formatCode>
                <c:ptCount val="13"/>
                <c:pt idx="0">
                  <c:v>0.98141967163352228</c:v>
                </c:pt>
                <c:pt idx="1">
                  <c:v>0.92802141334950694</c:v>
                </c:pt>
                <c:pt idx="2">
                  <c:v>1.0257080460192236</c:v>
                </c:pt>
                <c:pt idx="3">
                  <c:v>1.0646127665011473</c:v>
                </c:pt>
                <c:pt idx="4">
                  <c:v>1.0753237074121145</c:v>
                </c:pt>
                <c:pt idx="5">
                  <c:v>1.0422360763919929</c:v>
                </c:pt>
                <c:pt idx="6">
                  <c:v>1.0978441524727602</c:v>
                </c:pt>
                <c:pt idx="7">
                  <c:v>1.0378247495664441</c:v>
                </c:pt>
                <c:pt idx="8">
                  <c:v>1.0332088675177227</c:v>
                </c:pt>
                <c:pt idx="9">
                  <c:v>1.1033275421994369</c:v>
                </c:pt>
                <c:pt idx="10">
                  <c:v>1.0613255687481478</c:v>
                </c:pt>
                <c:pt idx="11">
                  <c:v>1.0852827519045309</c:v>
                </c:pt>
                <c:pt idx="12">
                  <c:v>1.1057317871283765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1'!$F$43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1'!$F$44:$F$56</c:f>
              <c:numCache>
                <c:formatCode>0.000000</c:formatCode>
                <c:ptCount val="13"/>
                <c:pt idx="0">
                  <c:v>0.9985035371420129</c:v>
                </c:pt>
                <c:pt idx="1">
                  <c:v>0.98715209394887005</c:v>
                </c:pt>
                <c:pt idx="2">
                  <c:v>0.99284501043036377</c:v>
                </c:pt>
                <c:pt idx="3">
                  <c:v>1.0204895071175968</c:v>
                </c:pt>
                <c:pt idx="4">
                  <c:v>1.0049119467662411</c:v>
                </c:pt>
                <c:pt idx="5">
                  <c:v>0.99460716116426584</c:v>
                </c:pt>
                <c:pt idx="6">
                  <c:v>1.0195310334465668</c:v>
                </c:pt>
                <c:pt idx="7">
                  <c:v>0.98333502299608533</c:v>
                </c:pt>
                <c:pt idx="8">
                  <c:v>0.98631763108404502</c:v>
                </c:pt>
                <c:pt idx="9">
                  <c:v>1.0290963972436542</c:v>
                </c:pt>
                <c:pt idx="10">
                  <c:v>0.99666881879093805</c:v>
                </c:pt>
                <c:pt idx="11">
                  <c:v>1.0030035803296993</c:v>
                </c:pt>
                <c:pt idx="12">
                  <c:v>1.0148841983751864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383970</xdr:colOff>
      <xdr:row>20</xdr:row>
      <xdr:rowOff>103240</xdr:rowOff>
    </xdr:from>
    <xdr:to>
      <xdr:col>20</xdr:col>
      <xdr:colOff>79170</xdr:colOff>
      <xdr:row>37</xdr:row>
      <xdr:rowOff>103240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373877</xdr:colOff>
      <xdr:row>2</xdr:row>
      <xdr:rowOff>99060</xdr:rowOff>
    </xdr:from>
    <xdr:to>
      <xdr:col>20</xdr:col>
      <xdr:colOff>69077</xdr:colOff>
      <xdr:row>17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7289</xdr:colOff>
      <xdr:row>59</xdr:row>
      <xdr:rowOff>9939</xdr:rowOff>
    </xdr:from>
    <xdr:to>
      <xdr:col>19</xdr:col>
      <xdr:colOff>310764</xdr:colOff>
      <xdr:row>74</xdr:row>
      <xdr:rowOff>9939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8614</xdr:colOff>
      <xdr:row>41</xdr:row>
      <xdr:rowOff>20871</xdr:rowOff>
    </xdr:from>
    <xdr:to>
      <xdr:col>19</xdr:col>
      <xdr:colOff>312089</xdr:colOff>
      <xdr:row>57</xdr:row>
      <xdr:rowOff>20871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L91"/>
  <sheetViews>
    <sheetView tabSelected="1" topLeftCell="A25" zoomScale="115" zoomScaleNormal="115" workbookViewId="0">
      <selection activeCell="L39" sqref="A39:L39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2" x14ac:dyDescent="0.3">
      <c r="H1" s="1"/>
      <c r="I1" s="1"/>
      <c r="J1" s="1"/>
      <c r="K1" s="1"/>
    </row>
    <row r="2" spans="1:12" x14ac:dyDescent="0.3">
      <c r="C2" s="14" t="s">
        <v>2</v>
      </c>
      <c r="D2" s="14"/>
      <c r="E2" s="15"/>
      <c r="H2" s="2"/>
      <c r="I2" s="2"/>
      <c r="J2" s="2"/>
      <c r="K2" s="2"/>
    </row>
    <row r="3" spans="1:12" x14ac:dyDescent="0.3">
      <c r="C3" s="3" t="s">
        <v>4</v>
      </c>
      <c r="D3" s="3"/>
      <c r="E3" s="9"/>
      <c r="F3" s="3"/>
      <c r="H3" s="3" t="s">
        <v>3</v>
      </c>
      <c r="I3" s="3"/>
      <c r="J3" s="9"/>
      <c r="K3" s="9"/>
      <c r="L3" s="3"/>
    </row>
    <row r="4" spans="1:12" x14ac:dyDescent="0.3">
      <c r="A4" s="6" t="s">
        <v>0</v>
      </c>
      <c r="B4" s="6"/>
      <c r="C4" s="6" t="s">
        <v>1</v>
      </c>
      <c r="D4" s="6" t="s">
        <v>7</v>
      </c>
      <c r="E4" s="6" t="s">
        <v>6</v>
      </c>
      <c r="F4" s="7" t="s">
        <v>8</v>
      </c>
      <c r="G4" s="8"/>
      <c r="H4" s="6" t="s">
        <v>1</v>
      </c>
      <c r="I4" s="6" t="s">
        <v>7</v>
      </c>
      <c r="J4" s="6" t="s">
        <v>6</v>
      </c>
      <c r="K4" s="7" t="s">
        <v>8</v>
      </c>
      <c r="L4" s="7"/>
    </row>
    <row r="5" spans="1:12" x14ac:dyDescent="0.3">
      <c r="A5">
        <v>0.1</v>
      </c>
      <c r="B5" s="5"/>
      <c r="D5">
        <v>1.3891095589010301</v>
      </c>
      <c r="E5">
        <v>1.38933589370449</v>
      </c>
      <c r="F5" s="10">
        <f>E5/D5</f>
        <v>1.0001629351709587</v>
      </c>
      <c r="G5" s="4"/>
      <c r="K5" s="10" t="e">
        <f>J5/I5</f>
        <v>#DIV/0!</v>
      </c>
      <c r="L5" s="10"/>
    </row>
    <row r="6" spans="1:12" x14ac:dyDescent="0.3">
      <c r="A6">
        <v>0.5</v>
      </c>
      <c r="B6" s="5"/>
      <c r="D6">
        <v>1.38907673010083</v>
      </c>
      <c r="E6">
        <v>1.3891670563732801</v>
      </c>
      <c r="F6" s="10">
        <f t="shared" ref="F6:F17" si="0">E6/D6</f>
        <v>1.0000650261216626</v>
      </c>
      <c r="G6" s="4"/>
      <c r="K6" s="10" t="e">
        <f t="shared" ref="K6:K17" si="1">J6/I6</f>
        <v>#DIV/0!</v>
      </c>
      <c r="L6" s="10"/>
    </row>
    <row r="7" spans="1:12" x14ac:dyDescent="0.3">
      <c r="A7">
        <v>1</v>
      </c>
      <c r="B7" s="5"/>
      <c r="D7">
        <v>1.3889139640202901</v>
      </c>
      <c r="E7">
        <v>1.3888589124812201</v>
      </c>
      <c r="F7" s="10">
        <f t="shared" si="0"/>
        <v>0.99996036360746876</v>
      </c>
      <c r="G7" s="4"/>
      <c r="K7" s="10" t="e">
        <f t="shared" si="1"/>
        <v>#DIV/0!</v>
      </c>
      <c r="L7" s="10"/>
    </row>
    <row r="8" spans="1:12" x14ac:dyDescent="0.3">
      <c r="A8">
        <v>10</v>
      </c>
      <c r="B8" s="5"/>
      <c r="D8">
        <v>1.38607567014507</v>
      </c>
      <c r="E8">
        <v>1.3868055893142199</v>
      </c>
      <c r="F8" s="10">
        <f t="shared" si="0"/>
        <v>1.0005266084564297</v>
      </c>
      <c r="G8" s="4"/>
      <c r="K8" s="10" t="e">
        <f t="shared" si="1"/>
        <v>#DIV/0!</v>
      </c>
      <c r="L8" s="10"/>
    </row>
    <row r="9" spans="1:12" s="4" customFormat="1" x14ac:dyDescent="0.3">
      <c r="A9">
        <v>25</v>
      </c>
      <c r="B9" s="5"/>
      <c r="C9"/>
      <c r="D9"/>
      <c r="E9">
        <v>1.3820193582140401</v>
      </c>
      <c r="F9" s="10" t="e">
        <f t="shared" si="0"/>
        <v>#DIV/0!</v>
      </c>
      <c r="H9"/>
      <c r="I9"/>
      <c r="J9"/>
      <c r="K9" s="10" t="e">
        <f t="shared" si="1"/>
        <v>#DIV/0!</v>
      </c>
      <c r="L9" s="11"/>
    </row>
    <row r="10" spans="1:12" x14ac:dyDescent="0.3">
      <c r="A10">
        <v>50</v>
      </c>
      <c r="B10" s="5"/>
      <c r="E10">
        <v>1.3754575654543499</v>
      </c>
      <c r="F10" s="10" t="e">
        <f t="shared" si="0"/>
        <v>#DIV/0!</v>
      </c>
      <c r="G10" s="4"/>
      <c r="K10" s="10" t="e">
        <f t="shared" si="1"/>
        <v>#DIV/0!</v>
      </c>
      <c r="L10" s="10"/>
    </row>
    <row r="11" spans="1:12" s="4" customFormat="1" x14ac:dyDescent="0.3">
      <c r="A11">
        <v>75</v>
      </c>
      <c r="B11" s="5"/>
      <c r="C11"/>
      <c r="D11"/>
      <c r="E11">
        <v>1.37040384545697</v>
      </c>
      <c r="F11" s="10" t="e">
        <f t="shared" si="0"/>
        <v>#DIV/0!</v>
      </c>
      <c r="H11"/>
      <c r="I11"/>
      <c r="J11"/>
      <c r="K11" s="10" t="e">
        <f t="shared" si="1"/>
        <v>#DIV/0!</v>
      </c>
      <c r="L11" s="11"/>
    </row>
    <row r="12" spans="1:12" x14ac:dyDescent="0.3">
      <c r="A12">
        <v>100</v>
      </c>
      <c r="B12" s="5"/>
      <c r="E12">
        <v>1.3649754350071801</v>
      </c>
      <c r="F12" s="10" t="e">
        <f t="shared" si="0"/>
        <v>#DIV/0!</v>
      </c>
      <c r="G12" s="4"/>
      <c r="K12" s="10" t="e">
        <f t="shared" si="1"/>
        <v>#DIV/0!</v>
      </c>
      <c r="L12" s="10"/>
    </row>
    <row r="13" spans="1:12" x14ac:dyDescent="0.3">
      <c r="A13">
        <v>150</v>
      </c>
      <c r="B13" s="5"/>
      <c r="E13">
        <v>1.35044101904588</v>
      </c>
      <c r="F13" s="10" t="e">
        <f t="shared" si="0"/>
        <v>#DIV/0!</v>
      </c>
      <c r="G13" s="4"/>
      <c r="K13" s="10" t="e">
        <f t="shared" si="1"/>
        <v>#DIV/0!</v>
      </c>
      <c r="L13" s="10"/>
    </row>
    <row r="14" spans="1:12" s="4" customFormat="1" x14ac:dyDescent="0.3">
      <c r="A14">
        <v>250</v>
      </c>
      <c r="B14" s="5"/>
      <c r="C14"/>
      <c r="D14"/>
      <c r="E14">
        <v>1.3309639224463901</v>
      </c>
      <c r="F14" s="10" t="e">
        <f t="shared" si="0"/>
        <v>#DIV/0!</v>
      </c>
      <c r="H14"/>
      <c r="I14"/>
      <c r="J14"/>
      <c r="K14" s="10" t="e">
        <f t="shared" si="1"/>
        <v>#DIV/0!</v>
      </c>
      <c r="L14" s="11"/>
    </row>
    <row r="15" spans="1:12" x14ac:dyDescent="0.3">
      <c r="A15">
        <v>500</v>
      </c>
      <c r="B15" s="5"/>
      <c r="E15">
        <v>1.2901507582212099</v>
      </c>
      <c r="F15" s="10" t="e">
        <f t="shared" si="0"/>
        <v>#DIV/0!</v>
      </c>
      <c r="G15" s="4"/>
      <c r="K15" s="10" t="e">
        <f t="shared" si="1"/>
        <v>#DIV/0!</v>
      </c>
      <c r="L15" s="10"/>
    </row>
    <row r="16" spans="1:12" s="4" customFormat="1" x14ac:dyDescent="0.3">
      <c r="A16">
        <v>750</v>
      </c>
      <c r="B16" s="5"/>
      <c r="C16"/>
      <c r="D16"/>
      <c r="E16">
        <v>1.2537253487050199</v>
      </c>
      <c r="F16" s="10" t="e">
        <f t="shared" si="0"/>
        <v>#DIV/0!</v>
      </c>
      <c r="H16"/>
      <c r="I16"/>
      <c r="J16"/>
      <c r="K16" s="10" t="e">
        <f t="shared" si="1"/>
        <v>#DIV/0!</v>
      </c>
      <c r="L16" s="11"/>
    </row>
    <row r="17" spans="1:12" x14ac:dyDescent="0.3">
      <c r="A17">
        <v>999.99</v>
      </c>
      <c r="B17" s="5"/>
      <c r="E17">
        <v>1.2163442531022399</v>
      </c>
      <c r="F17" s="10" t="e">
        <f t="shared" si="0"/>
        <v>#DIV/0!</v>
      </c>
      <c r="G17" s="4"/>
      <c r="K17" s="10" t="e">
        <f t="shared" si="1"/>
        <v>#DIV/0!</v>
      </c>
      <c r="L17" s="10"/>
    </row>
    <row r="21" spans="1:12" x14ac:dyDescent="0.3">
      <c r="C21" s="12" t="s">
        <v>5</v>
      </c>
      <c r="D21" s="12"/>
      <c r="E21" s="13"/>
      <c r="F21" s="13"/>
      <c r="H21" s="2"/>
      <c r="I21" s="2"/>
      <c r="J21" s="2"/>
      <c r="K21" s="2"/>
    </row>
    <row r="22" spans="1:12" x14ac:dyDescent="0.3">
      <c r="C22" s="3" t="s">
        <v>4</v>
      </c>
      <c r="D22" s="3"/>
      <c r="E22" s="9"/>
      <c r="F22" s="3"/>
      <c r="H22" s="3" t="s">
        <v>3</v>
      </c>
      <c r="I22" s="3"/>
      <c r="J22" s="9"/>
      <c r="K22" s="9"/>
      <c r="L22" s="3"/>
    </row>
    <row r="23" spans="1:12" x14ac:dyDescent="0.3">
      <c r="A23" s="6" t="s">
        <v>0</v>
      </c>
      <c r="B23" s="6"/>
      <c r="C23" s="6" t="s">
        <v>1</v>
      </c>
      <c r="D23" s="6" t="s">
        <v>7</v>
      </c>
      <c r="E23" s="6" t="s">
        <v>6</v>
      </c>
      <c r="F23" s="7" t="s">
        <v>8</v>
      </c>
      <c r="G23" s="8"/>
      <c r="H23" s="6" t="s">
        <v>1</v>
      </c>
      <c r="I23" s="6" t="s">
        <v>7</v>
      </c>
      <c r="J23" s="6" t="s">
        <v>6</v>
      </c>
      <c r="K23" s="7" t="s">
        <v>8</v>
      </c>
      <c r="L23" s="7"/>
    </row>
    <row r="24" spans="1:12" x14ac:dyDescent="0.3">
      <c r="A24">
        <v>0.1</v>
      </c>
      <c r="B24" s="5"/>
      <c r="C24" s="2"/>
      <c r="D24" s="2">
        <v>3.4601339198647797E-5</v>
      </c>
      <c r="E24" s="2">
        <v>2.3188386654289999E-5</v>
      </c>
      <c r="F24" s="10">
        <f>E24/D24</f>
        <v>0.67015864678428949</v>
      </c>
      <c r="G24" s="4"/>
      <c r="H24" s="2"/>
      <c r="I24" s="2"/>
      <c r="J24" s="2"/>
      <c r="K24" s="10" t="e">
        <f>J24/I24</f>
        <v>#DIV/0!</v>
      </c>
      <c r="L24" s="10"/>
    </row>
    <row r="25" spans="1:12" x14ac:dyDescent="0.3">
      <c r="A25">
        <v>0.5</v>
      </c>
      <c r="B25" s="5"/>
      <c r="D25">
        <v>1.7267075850167999E-4</v>
      </c>
      <c r="E25">
        <v>1.16379113471186E-4</v>
      </c>
      <c r="F25" s="10">
        <f t="shared" ref="F25:F36" si="2">E25/D25</f>
        <v>0.67399433743759052</v>
      </c>
      <c r="G25" s="4"/>
      <c r="K25" s="10" t="e">
        <f t="shared" ref="K25:K36" si="3">J25/I25</f>
        <v>#DIV/0!</v>
      </c>
      <c r="L25" s="10"/>
    </row>
    <row r="26" spans="1:12" x14ac:dyDescent="0.3">
      <c r="A26">
        <v>1</v>
      </c>
      <c r="B26" s="5"/>
      <c r="D26">
        <v>3.4444202449192702E-4</v>
      </c>
      <c r="E26">
        <v>2.31665379952172E-4</v>
      </c>
      <c r="F26" s="10">
        <f t="shared" si="2"/>
        <v>0.67258163487423628</v>
      </c>
      <c r="G26" s="4"/>
      <c r="K26" s="10" t="e">
        <f t="shared" si="3"/>
        <v>#DIV/0!</v>
      </c>
      <c r="L26" s="10"/>
    </row>
    <row r="27" spans="1:12" x14ac:dyDescent="0.3">
      <c r="A27">
        <v>10</v>
      </c>
      <c r="B27" s="5"/>
      <c r="D27">
        <v>3.33054467027722E-3</v>
      </c>
      <c r="E27">
        <v>2.3274949085023899E-3</v>
      </c>
      <c r="F27" s="10">
        <f t="shared" si="2"/>
        <v>0.69883311557825745</v>
      </c>
      <c r="G27" s="4"/>
      <c r="K27" s="10" t="e">
        <f t="shared" si="3"/>
        <v>#DIV/0!</v>
      </c>
      <c r="L27" s="10"/>
    </row>
    <row r="28" spans="1:12" x14ac:dyDescent="0.3">
      <c r="A28">
        <v>25</v>
      </c>
      <c r="B28" s="5"/>
      <c r="E28">
        <v>5.7868683352336496E-3</v>
      </c>
      <c r="F28" s="10" t="e">
        <f t="shared" si="2"/>
        <v>#DIV/0!</v>
      </c>
      <c r="G28" s="4"/>
      <c r="K28" s="10" t="e">
        <f t="shared" si="3"/>
        <v>#DIV/0!</v>
      </c>
      <c r="L28" s="11"/>
    </row>
    <row r="29" spans="1:12" x14ac:dyDescent="0.3">
      <c r="A29">
        <v>50</v>
      </c>
      <c r="B29" s="5"/>
      <c r="E29">
        <v>1.1357972286110201E-2</v>
      </c>
      <c r="F29" s="10" t="e">
        <f t="shared" si="2"/>
        <v>#DIV/0!</v>
      </c>
      <c r="G29" s="4"/>
      <c r="K29" s="10" t="e">
        <f t="shared" si="3"/>
        <v>#DIV/0!</v>
      </c>
      <c r="L29" s="10"/>
    </row>
    <row r="30" spans="1:12" x14ac:dyDescent="0.3">
      <c r="A30">
        <v>75</v>
      </c>
      <c r="B30" s="5"/>
      <c r="E30">
        <v>1.6724313084056999E-2</v>
      </c>
      <c r="F30" s="10" t="e">
        <f t="shared" si="2"/>
        <v>#DIV/0!</v>
      </c>
      <c r="G30" s="4"/>
      <c r="K30" s="10" t="e">
        <f t="shared" si="3"/>
        <v>#DIV/0!</v>
      </c>
      <c r="L30" s="11"/>
    </row>
    <row r="31" spans="1:12" x14ac:dyDescent="0.3">
      <c r="A31">
        <v>100</v>
      </c>
      <c r="B31" s="5"/>
      <c r="E31">
        <v>2.2149757308928399E-2</v>
      </c>
      <c r="F31" s="10" t="e">
        <f t="shared" si="2"/>
        <v>#DIV/0!</v>
      </c>
      <c r="G31" s="4"/>
      <c r="K31" s="10" t="e">
        <f t="shared" si="3"/>
        <v>#DIV/0!</v>
      </c>
      <c r="L31" s="10"/>
    </row>
    <row r="32" spans="1:12" x14ac:dyDescent="0.3">
      <c r="A32">
        <v>150</v>
      </c>
      <c r="B32" s="5"/>
      <c r="E32">
        <v>3.2103137598192298E-2</v>
      </c>
      <c r="F32" s="10" t="e">
        <f t="shared" si="2"/>
        <v>#DIV/0!</v>
      </c>
      <c r="G32" s="4"/>
      <c r="K32" s="10" t="e">
        <f t="shared" si="3"/>
        <v>#DIV/0!</v>
      </c>
      <c r="L32" s="10"/>
    </row>
    <row r="33" spans="1:12" x14ac:dyDescent="0.3">
      <c r="A33">
        <v>250</v>
      </c>
      <c r="B33" s="5"/>
      <c r="E33">
        <v>5.1114734736025402E-2</v>
      </c>
      <c r="F33" s="10" t="e">
        <f t="shared" si="2"/>
        <v>#DIV/0!</v>
      </c>
      <c r="G33" s="4"/>
      <c r="K33" s="10" t="e">
        <f t="shared" si="3"/>
        <v>#DIV/0!</v>
      </c>
      <c r="L33" s="11"/>
    </row>
    <row r="34" spans="1:12" x14ac:dyDescent="0.3">
      <c r="A34">
        <v>500</v>
      </c>
      <c r="B34" s="5"/>
      <c r="E34">
        <v>9.1445222619505398E-2</v>
      </c>
      <c r="F34" s="10" t="e">
        <f t="shared" si="2"/>
        <v>#DIV/0!</v>
      </c>
      <c r="G34" s="4"/>
      <c r="K34" s="10" t="e">
        <f t="shared" si="3"/>
        <v>#DIV/0!</v>
      </c>
      <c r="L34" s="10"/>
    </row>
    <row r="35" spans="1:12" x14ac:dyDescent="0.3">
      <c r="A35">
        <v>750</v>
      </c>
      <c r="B35" s="5"/>
      <c r="E35">
        <v>0.12725844081883</v>
      </c>
      <c r="F35" s="10" t="e">
        <f t="shared" si="2"/>
        <v>#DIV/0!</v>
      </c>
      <c r="G35" s="4"/>
      <c r="K35" s="10" t="e">
        <f t="shared" si="3"/>
        <v>#DIV/0!</v>
      </c>
      <c r="L35" s="11"/>
    </row>
    <row r="36" spans="1:12" x14ac:dyDescent="0.3">
      <c r="A36">
        <v>999.99</v>
      </c>
      <c r="B36" s="5"/>
      <c r="E36">
        <v>0.157583868759714</v>
      </c>
      <c r="F36" s="10" t="e">
        <f t="shared" si="2"/>
        <v>#DIV/0!</v>
      </c>
      <c r="G36" s="4"/>
      <c r="K36" s="10" t="e">
        <f t="shared" si="3"/>
        <v>#DIV/0!</v>
      </c>
      <c r="L36" s="10"/>
    </row>
    <row r="40" spans="1:12" x14ac:dyDescent="0.3">
      <c r="C40" s="1" t="s">
        <v>9</v>
      </c>
    </row>
    <row r="41" spans="1:12" x14ac:dyDescent="0.3">
      <c r="C41" s="14" t="s">
        <v>2</v>
      </c>
      <c r="D41" s="14"/>
      <c r="E41" s="15"/>
      <c r="H41" s="2"/>
      <c r="I41" s="2"/>
      <c r="J41" s="2"/>
      <c r="K41" s="2"/>
    </row>
    <row r="42" spans="1:12" x14ac:dyDescent="0.3">
      <c r="C42" s="3" t="s">
        <v>4</v>
      </c>
      <c r="D42" s="3"/>
      <c r="E42" s="9"/>
      <c r="F42" s="3"/>
      <c r="H42" s="3" t="s">
        <v>3</v>
      </c>
      <c r="I42" s="3"/>
      <c r="J42" s="9"/>
      <c r="K42" s="9"/>
    </row>
    <row r="43" spans="1:12" x14ac:dyDescent="0.3">
      <c r="A43" s="6" t="s">
        <v>0</v>
      </c>
      <c r="B43" s="6"/>
      <c r="C43" s="6" t="s">
        <v>1</v>
      </c>
      <c r="D43" s="6" t="s">
        <v>7</v>
      </c>
      <c r="E43" s="6" t="s">
        <v>6</v>
      </c>
      <c r="F43" s="7" t="s">
        <v>8</v>
      </c>
      <c r="G43" s="8"/>
      <c r="H43" s="6" t="s">
        <v>1</v>
      </c>
      <c r="I43" s="6" t="s">
        <v>7</v>
      </c>
      <c r="J43" s="6" t="s">
        <v>6</v>
      </c>
      <c r="K43" s="7" t="s">
        <v>8</v>
      </c>
    </row>
    <row r="44" spans="1:12" x14ac:dyDescent="0.3">
      <c r="A44">
        <v>0.1</v>
      </c>
      <c r="B44" s="5"/>
      <c r="D44">
        <v>1.33146077610654</v>
      </c>
      <c r="E44">
        <v>1.3294682945082299</v>
      </c>
      <c r="F44" s="10">
        <f>E44/D44</f>
        <v>0.9985035371420129</v>
      </c>
      <c r="G44" s="4"/>
      <c r="I44">
        <v>1.33422182541257</v>
      </c>
      <c r="J44">
        <v>1.3288821396550801</v>
      </c>
      <c r="K44" s="10">
        <f>J44/I44</f>
        <v>0.99599790255579224</v>
      </c>
    </row>
    <row r="45" spans="1:12" x14ac:dyDescent="0.3">
      <c r="A45">
        <v>0.5</v>
      </c>
      <c r="B45" s="5"/>
      <c r="D45">
        <v>1.35765661048369</v>
      </c>
      <c r="E45">
        <v>1.3402135659025001</v>
      </c>
      <c r="F45" s="10">
        <f t="shared" ref="F45:F56" si="4">E45/D45</f>
        <v>0.98715209394887005</v>
      </c>
      <c r="G45" s="4"/>
      <c r="H45" s="4"/>
      <c r="I45">
        <v>1.3552315082948401</v>
      </c>
      <c r="J45">
        <v>1.34024384554322</v>
      </c>
      <c r="K45" s="11">
        <f t="shared" ref="K45:K54" si="5">J45/I45</f>
        <v>0.98894088378266998</v>
      </c>
    </row>
    <row r="46" spans="1:12" x14ac:dyDescent="0.3">
      <c r="A46">
        <v>1</v>
      </c>
      <c r="B46" s="5"/>
      <c r="D46">
        <v>1.33903476392587</v>
      </c>
      <c r="E46">
        <v>1.3294539841566</v>
      </c>
      <c r="F46" s="10">
        <f t="shared" si="4"/>
        <v>0.99284501043036377</v>
      </c>
      <c r="G46" s="4"/>
      <c r="I46">
        <v>1.3461367977004299</v>
      </c>
      <c r="J46">
        <v>1.32904261090945</v>
      </c>
      <c r="K46" s="10">
        <f t="shared" si="5"/>
        <v>0.98730130041747499</v>
      </c>
    </row>
    <row r="47" spans="1:12" x14ac:dyDescent="0.3">
      <c r="A47">
        <v>10</v>
      </c>
      <c r="B47" s="5"/>
      <c r="D47">
        <v>1.31789010731641</v>
      </c>
      <c r="E47">
        <v>1.3448930260504799</v>
      </c>
      <c r="F47" s="10">
        <f t="shared" si="4"/>
        <v>1.0204895071175968</v>
      </c>
      <c r="G47" s="4"/>
      <c r="H47" s="4"/>
      <c r="I47">
        <v>1.31846450590491</v>
      </c>
      <c r="J47">
        <v>1.3511493506913199</v>
      </c>
      <c r="K47" s="11">
        <f t="shared" si="5"/>
        <v>1.0247900831914902</v>
      </c>
    </row>
    <row r="48" spans="1:12" x14ac:dyDescent="0.3">
      <c r="A48">
        <v>25</v>
      </c>
      <c r="B48" s="5"/>
      <c r="D48">
        <v>1.32036564820574</v>
      </c>
      <c r="E48">
        <v>1.3268512139816999</v>
      </c>
      <c r="F48" s="10">
        <f t="shared" si="4"/>
        <v>1.0049119467662411</v>
      </c>
      <c r="G48" s="4"/>
      <c r="I48">
        <v>1.33152629750905</v>
      </c>
      <c r="J48">
        <v>1.33015612015508</v>
      </c>
      <c r="K48" s="10">
        <f t="shared" si="5"/>
        <v>0.99897097236717491</v>
      </c>
    </row>
    <row r="49" spans="1:11" x14ac:dyDescent="0.3">
      <c r="A49">
        <v>50</v>
      </c>
      <c r="B49" s="5"/>
      <c r="D49">
        <v>1.3197738196808499</v>
      </c>
      <c r="E49">
        <v>1.3126564921716899</v>
      </c>
      <c r="F49" s="10">
        <f t="shared" si="4"/>
        <v>0.99460716116426584</v>
      </c>
      <c r="G49" s="4"/>
      <c r="H49" s="4"/>
      <c r="I49">
        <v>1.32005527665466</v>
      </c>
      <c r="J49">
        <v>1.30244954906179</v>
      </c>
      <c r="K49" s="11">
        <f t="shared" si="5"/>
        <v>0.98666288608952257</v>
      </c>
    </row>
    <row r="50" spans="1:11" x14ac:dyDescent="0.3">
      <c r="A50">
        <v>75</v>
      </c>
      <c r="B50" s="5"/>
      <c r="D50">
        <v>1.29935652652886</v>
      </c>
      <c r="E50">
        <v>1.32473430230751</v>
      </c>
      <c r="F50" s="10">
        <f t="shared" si="4"/>
        <v>1.0195310334465668</v>
      </c>
      <c r="G50" s="4"/>
      <c r="I50">
        <v>1.30908256842566</v>
      </c>
      <c r="J50">
        <v>1.30672475018709</v>
      </c>
      <c r="K50" s="10">
        <f t="shared" si="5"/>
        <v>0.99819887736996948</v>
      </c>
    </row>
    <row r="51" spans="1:11" x14ac:dyDescent="0.3">
      <c r="A51">
        <v>100</v>
      </c>
      <c r="B51" s="5"/>
      <c r="D51">
        <v>1.33910590256307</v>
      </c>
      <c r="E51">
        <v>1.3167897334910501</v>
      </c>
      <c r="F51" s="10">
        <f t="shared" si="4"/>
        <v>0.98333502299608533</v>
      </c>
      <c r="G51" s="4"/>
      <c r="H51" s="4"/>
      <c r="I51">
        <v>1.3171859836539099</v>
      </c>
      <c r="J51">
        <v>1.31060168409573</v>
      </c>
      <c r="K51" s="11">
        <f t="shared" si="5"/>
        <v>0.99500123775997451</v>
      </c>
    </row>
    <row r="52" spans="1:11" x14ac:dyDescent="0.3">
      <c r="A52">
        <v>150</v>
      </c>
      <c r="B52" s="5"/>
      <c r="D52">
        <v>1.3346899335651701</v>
      </c>
      <c r="E52">
        <v>1.3164282135057199</v>
      </c>
      <c r="F52" s="10">
        <f t="shared" si="4"/>
        <v>0.98631763108404502</v>
      </c>
      <c r="G52" s="4"/>
      <c r="I52">
        <v>1.28924587434467</v>
      </c>
      <c r="J52">
        <v>1.3011790803332</v>
      </c>
      <c r="K52" s="10">
        <f t="shared" si="5"/>
        <v>1.0092559582512495</v>
      </c>
    </row>
    <row r="53" spans="1:11" x14ac:dyDescent="0.3">
      <c r="A53">
        <v>250</v>
      </c>
      <c r="B53" s="5"/>
      <c r="D53">
        <v>1.29678717701069</v>
      </c>
      <c r="E53">
        <v>1.33451901185347</v>
      </c>
      <c r="F53" s="10">
        <f t="shared" si="4"/>
        <v>1.0290963972436542</v>
      </c>
      <c r="G53" s="4"/>
      <c r="H53" s="4"/>
      <c r="I53">
        <v>1.2845821783281699</v>
      </c>
      <c r="J53">
        <v>1.27732476166037</v>
      </c>
      <c r="K53" s="11">
        <f t="shared" si="5"/>
        <v>0.99435036793267273</v>
      </c>
    </row>
    <row r="54" spans="1:11" x14ac:dyDescent="0.3">
      <c r="A54">
        <v>500</v>
      </c>
      <c r="B54" s="5"/>
      <c r="D54">
        <v>1.2662694099393199</v>
      </c>
      <c r="E54">
        <v>1.2620512370753201</v>
      </c>
      <c r="F54" s="10">
        <f t="shared" si="4"/>
        <v>0.99666881879093805</v>
      </c>
      <c r="G54" s="4"/>
      <c r="I54">
        <v>1.2051198250164299</v>
      </c>
      <c r="J54">
        <v>1.19710463230099</v>
      </c>
      <c r="K54" s="10">
        <f t="shared" si="5"/>
        <v>0.99334904915755518</v>
      </c>
    </row>
    <row r="55" spans="1:11" x14ac:dyDescent="0.3">
      <c r="A55">
        <v>750</v>
      </c>
      <c r="B55" s="5"/>
      <c r="D55">
        <v>1.23279071771682</v>
      </c>
      <c r="E55">
        <v>1.23649350366719</v>
      </c>
      <c r="F55" s="10">
        <f t="shared" si="4"/>
        <v>1.0030035803296993</v>
      </c>
      <c r="G55" s="5"/>
      <c r="I55">
        <v>1.1807532343395699</v>
      </c>
      <c r="J55">
        <v>1.1563239206929501</v>
      </c>
    </row>
    <row r="56" spans="1:11" x14ac:dyDescent="0.3">
      <c r="A56">
        <v>999.99</v>
      </c>
      <c r="B56" s="5"/>
      <c r="D56">
        <v>1.1928852496040101</v>
      </c>
      <c r="E56">
        <v>1.2106403902979499</v>
      </c>
      <c r="F56" s="10">
        <f t="shared" si="4"/>
        <v>1.0148841983751864</v>
      </c>
      <c r="G56" s="5"/>
      <c r="I56">
        <v>1.13357719050286</v>
      </c>
      <c r="J56">
        <v>1.1342010761596699</v>
      </c>
    </row>
    <row r="59" spans="1:11" x14ac:dyDescent="0.3">
      <c r="C59" s="12" t="s">
        <v>5</v>
      </c>
      <c r="D59" s="12"/>
      <c r="E59" s="13"/>
      <c r="F59" s="13"/>
      <c r="H59" s="2"/>
      <c r="I59" s="2"/>
      <c r="J59" s="2"/>
      <c r="K59" s="2"/>
    </row>
    <row r="60" spans="1:11" x14ac:dyDescent="0.3">
      <c r="C60" s="3" t="s">
        <v>4</v>
      </c>
      <c r="D60" s="3"/>
      <c r="E60" s="9"/>
      <c r="F60" s="3"/>
      <c r="H60" s="3" t="s">
        <v>3</v>
      </c>
      <c r="I60" s="3"/>
      <c r="J60" s="9"/>
      <c r="K60" s="9"/>
    </row>
    <row r="61" spans="1:11" x14ac:dyDescent="0.3">
      <c r="A61" s="6" t="s">
        <v>0</v>
      </c>
      <c r="B61" s="6"/>
      <c r="C61" s="6" t="s">
        <v>1</v>
      </c>
      <c r="D61" s="6" t="s">
        <v>7</v>
      </c>
      <c r="E61" s="6" t="s">
        <v>6</v>
      </c>
      <c r="F61" s="7" t="s">
        <v>8</v>
      </c>
      <c r="G61" s="8"/>
      <c r="H61" s="6" t="s">
        <v>1</v>
      </c>
      <c r="I61" s="6" t="s">
        <v>7</v>
      </c>
      <c r="J61" s="6" t="s">
        <v>6</v>
      </c>
      <c r="K61" s="7" t="s">
        <v>8</v>
      </c>
    </row>
    <row r="62" spans="1:11" x14ac:dyDescent="0.3">
      <c r="A62">
        <v>0.1</v>
      </c>
      <c r="B62" s="5"/>
      <c r="C62" s="2">
        <v>2.0906018648200899E-5</v>
      </c>
      <c r="D62" s="2">
        <v>1.9785240862768899E-5</v>
      </c>
      <c r="E62" s="2">
        <v>1.9417624590728801E-5</v>
      </c>
      <c r="F62" s="10">
        <f>E62/D62</f>
        <v>0.98141967163352228</v>
      </c>
      <c r="G62" s="4"/>
      <c r="H62" s="2"/>
      <c r="I62" s="2">
        <v>2.44555572729164E-5</v>
      </c>
      <c r="J62" s="2">
        <v>2.3173152783100001E-5</v>
      </c>
      <c r="K62" s="10">
        <f>J62/I62</f>
        <v>0.94756183735642718</v>
      </c>
    </row>
    <row r="63" spans="1:11" x14ac:dyDescent="0.3">
      <c r="A63">
        <v>0.5</v>
      </c>
      <c r="B63" s="5"/>
      <c r="C63" s="2">
        <v>3.1327203465188001E-3</v>
      </c>
      <c r="D63">
        <v>1.02051178015395E-4</v>
      </c>
      <c r="E63" s="2">
        <v>9.4705678455829002E-5</v>
      </c>
      <c r="F63" s="10">
        <f t="shared" ref="F63:F74" si="6">E63/D63</f>
        <v>0.92802141334950694</v>
      </c>
      <c r="G63" s="4"/>
      <c r="I63">
        <v>1.237590596311E-4</v>
      </c>
      <c r="J63">
        <v>1.2781285534871299E-4</v>
      </c>
      <c r="K63" s="11">
        <f t="shared" ref="K63:K74" si="7">J63/I63</f>
        <v>1.0327555471873857</v>
      </c>
    </row>
    <row r="64" spans="1:11" x14ac:dyDescent="0.3">
      <c r="A64">
        <v>1</v>
      </c>
      <c r="B64" s="5"/>
      <c r="C64" s="2">
        <v>6.2691724987101998E-3</v>
      </c>
      <c r="D64">
        <v>2.0004896550590901E-4</v>
      </c>
      <c r="E64">
        <v>2.0519183351723301E-4</v>
      </c>
      <c r="F64" s="10">
        <f t="shared" si="6"/>
        <v>1.0257080460192236</v>
      </c>
      <c r="G64" s="4"/>
      <c r="I64">
        <v>2.47009346021372E-4</v>
      </c>
      <c r="J64">
        <v>2.5056736662623701E-4</v>
      </c>
      <c r="K64" s="10">
        <f t="shared" si="7"/>
        <v>1.0144043966844767</v>
      </c>
    </row>
    <row r="65" spans="1:11" x14ac:dyDescent="0.3">
      <c r="A65">
        <v>10</v>
      </c>
      <c r="B65" s="5"/>
      <c r="C65" s="2">
        <v>1.2558983712415E-2</v>
      </c>
      <c r="D65">
        <v>1.9727739159685499E-3</v>
      </c>
      <c r="E65">
        <v>2.1002402963605799E-3</v>
      </c>
      <c r="F65" s="10">
        <f t="shared" si="6"/>
        <v>1.0646127665011473</v>
      </c>
      <c r="G65" s="4"/>
      <c r="I65">
        <v>2.41443999850058E-3</v>
      </c>
      <c r="J65">
        <v>2.5624129143282902E-3</v>
      </c>
      <c r="K65" s="11">
        <f t="shared" si="7"/>
        <v>1.0612866403470804</v>
      </c>
    </row>
    <row r="66" spans="1:11" x14ac:dyDescent="0.3">
      <c r="A66">
        <v>25</v>
      </c>
      <c r="B66" s="5"/>
      <c r="C66" s="2">
        <v>1.8782496824776201E-2</v>
      </c>
      <c r="D66">
        <v>4.9269907229743297E-3</v>
      </c>
      <c r="E66">
        <v>5.2981099306138504E-3</v>
      </c>
      <c r="F66" s="10">
        <f t="shared" si="6"/>
        <v>1.0753237074121145</v>
      </c>
      <c r="G66" s="4"/>
      <c r="I66">
        <v>6.11270182240103E-3</v>
      </c>
      <c r="J66">
        <v>6.4145321839513504E-3</v>
      </c>
      <c r="K66" s="10">
        <f t="shared" si="7"/>
        <v>1.0493775699060295</v>
      </c>
    </row>
    <row r="67" spans="1:11" x14ac:dyDescent="0.3">
      <c r="A67">
        <v>50</v>
      </c>
      <c r="B67" s="5"/>
      <c r="C67" s="2">
        <v>2.51046376970986E-2</v>
      </c>
      <c r="D67">
        <v>9.7820010092556295E-3</v>
      </c>
      <c r="E67">
        <v>1.0195154351149101E-2</v>
      </c>
      <c r="F67" s="10">
        <f t="shared" si="6"/>
        <v>1.0422360763919929</v>
      </c>
      <c r="G67" s="4"/>
      <c r="I67">
        <v>1.20970549355645E-2</v>
      </c>
      <c r="J67">
        <v>1.24175942421624E-2</v>
      </c>
      <c r="K67" s="11">
        <f t="shared" si="7"/>
        <v>1.0264973010625533</v>
      </c>
    </row>
    <row r="68" spans="1:11" x14ac:dyDescent="0.3">
      <c r="A68">
        <v>75</v>
      </c>
      <c r="B68" s="5"/>
      <c r="C68" s="2">
        <v>3.1476119846668899E-2</v>
      </c>
      <c r="D68">
        <v>1.43763436727791E-2</v>
      </c>
      <c r="E68">
        <v>1.5782984835099299E-2</v>
      </c>
      <c r="F68" s="10">
        <f t="shared" si="6"/>
        <v>1.0978441524727602</v>
      </c>
      <c r="G68" s="4"/>
      <c r="I68">
        <v>1.8002551123509802E-2</v>
      </c>
      <c r="J68">
        <v>1.8976376994297401E-2</v>
      </c>
      <c r="K68" s="10">
        <f t="shared" si="7"/>
        <v>1.0540937706054263</v>
      </c>
    </row>
    <row r="69" spans="1:11" x14ac:dyDescent="0.3">
      <c r="A69">
        <v>100</v>
      </c>
      <c r="B69" s="5"/>
      <c r="C69" s="2">
        <v>5.2878603388737497E-2</v>
      </c>
      <c r="D69">
        <v>2.00458898906196E-2</v>
      </c>
      <c r="E69">
        <v>2.0804120655568799E-2</v>
      </c>
      <c r="F69" s="10">
        <f t="shared" si="6"/>
        <v>1.0378247495664441</v>
      </c>
      <c r="G69" s="4"/>
      <c r="I69">
        <v>2.4309982506840501E-2</v>
      </c>
      <c r="J69">
        <v>2.56065505285916E-2</v>
      </c>
      <c r="K69" s="11">
        <f t="shared" si="7"/>
        <v>1.0533347986320543</v>
      </c>
    </row>
    <row r="70" spans="1:11" x14ac:dyDescent="0.3">
      <c r="A70">
        <v>150</v>
      </c>
      <c r="B70" s="5"/>
      <c r="C70" s="2">
        <v>0.107716927588289</v>
      </c>
      <c r="D70">
        <v>3.0432830381329601E-2</v>
      </c>
      <c r="E70">
        <v>3.14434702136525E-2</v>
      </c>
      <c r="F70" s="10">
        <f t="shared" si="6"/>
        <v>1.0332088675177227</v>
      </c>
      <c r="G70" s="4"/>
      <c r="I70">
        <v>3.5308084946377202E-2</v>
      </c>
      <c r="J70">
        <v>3.7911161854217702E-2</v>
      </c>
      <c r="K70" s="10">
        <f t="shared" si="7"/>
        <v>1.0737246699104135</v>
      </c>
    </row>
    <row r="71" spans="1:11" x14ac:dyDescent="0.3">
      <c r="A71">
        <v>250</v>
      </c>
      <c r="B71" s="5"/>
      <c r="C71" s="2">
        <v>0.16515386445267599</v>
      </c>
      <c r="D71">
        <v>4.89210306757277E-2</v>
      </c>
      <c r="E71">
        <v>5.3975920537313898E-2</v>
      </c>
      <c r="F71" s="10">
        <f t="shared" si="6"/>
        <v>1.1033275421994369</v>
      </c>
      <c r="G71" s="4"/>
      <c r="I71">
        <v>5.8808790512075798E-2</v>
      </c>
      <c r="J71">
        <v>6.2265324575410202E-2</v>
      </c>
      <c r="K71" s="11">
        <f t="shared" si="7"/>
        <v>1.0587758060187387</v>
      </c>
    </row>
    <row r="72" spans="1:11" x14ac:dyDescent="0.3">
      <c r="A72">
        <v>500</v>
      </c>
      <c r="B72" s="5"/>
      <c r="C72" s="2">
        <v>0.22114304090137801</v>
      </c>
      <c r="D72">
        <v>9.6226590649767796E-2</v>
      </c>
      <c r="E72">
        <v>0.10212774105006001</v>
      </c>
      <c r="F72" s="10">
        <f t="shared" si="6"/>
        <v>1.0613255687481478</v>
      </c>
      <c r="G72" s="4"/>
      <c r="I72">
        <v>0.11146020972599301</v>
      </c>
      <c r="J72">
        <v>0.118001707852343</v>
      </c>
      <c r="K72" s="10">
        <f t="shared" si="7"/>
        <v>1.0586890886212328</v>
      </c>
    </row>
    <row r="73" spans="1:11" x14ac:dyDescent="0.3">
      <c r="A73">
        <v>750</v>
      </c>
      <c r="B73" s="5"/>
      <c r="D73">
        <v>0.140294088260282</v>
      </c>
      <c r="E73">
        <v>0.15225875418305601</v>
      </c>
      <c r="F73" s="10">
        <f t="shared" si="6"/>
        <v>1.0852827519045309</v>
      </c>
      <c r="G73" s="5"/>
      <c r="I73">
        <v>0.164782092113922</v>
      </c>
      <c r="J73">
        <v>0.171436913407884</v>
      </c>
      <c r="K73" s="11">
        <f t="shared" si="7"/>
        <v>1.0403855856458066</v>
      </c>
    </row>
    <row r="74" spans="1:11" x14ac:dyDescent="0.3">
      <c r="A74">
        <v>999.99</v>
      </c>
      <c r="B74" s="5"/>
      <c r="D74">
        <v>0.181401571560247</v>
      </c>
      <c r="E74">
        <v>0.20058148390920799</v>
      </c>
      <c r="F74" s="10">
        <f t="shared" si="6"/>
        <v>1.1057317871283765</v>
      </c>
      <c r="G74" s="5"/>
      <c r="I74">
        <v>0.211482254080264</v>
      </c>
      <c r="J74">
        <v>0.22688990016688301</v>
      </c>
      <c r="K74" s="10">
        <f t="shared" si="7"/>
        <v>1.0728555034256981</v>
      </c>
    </row>
    <row r="76" spans="1:11" x14ac:dyDescent="0.3">
      <c r="C76" s="12" t="s">
        <v>10</v>
      </c>
      <c r="D76" s="12"/>
      <c r="E76" s="13"/>
      <c r="F76" s="13"/>
      <c r="H76" s="2"/>
      <c r="I76" s="2"/>
      <c r="J76" s="2"/>
      <c r="K76" s="2"/>
    </row>
    <row r="77" spans="1:11" x14ac:dyDescent="0.3">
      <c r="C77" s="3" t="s">
        <v>4</v>
      </c>
      <c r="D77" s="3"/>
      <c r="E77" s="9"/>
      <c r="F77" s="3"/>
      <c r="H77" s="3" t="s">
        <v>3</v>
      </c>
      <c r="I77" s="3"/>
      <c r="J77" s="9"/>
      <c r="K77" s="9"/>
    </row>
    <row r="78" spans="1:11" x14ac:dyDescent="0.3">
      <c r="A78" s="6" t="s">
        <v>0</v>
      </c>
      <c r="B78" s="6"/>
      <c r="C78" s="6" t="s">
        <v>1</v>
      </c>
      <c r="D78" s="6" t="s">
        <v>7</v>
      </c>
      <c r="E78" s="6" t="s">
        <v>6</v>
      </c>
      <c r="F78" s="7" t="s">
        <v>8</v>
      </c>
      <c r="G78" s="8"/>
      <c r="H78" s="6" t="s">
        <v>1</v>
      </c>
      <c r="I78" s="6" t="s">
        <v>7</v>
      </c>
      <c r="J78" s="6" t="s">
        <v>6</v>
      </c>
      <c r="K78" s="7" t="s">
        <v>8</v>
      </c>
    </row>
    <row r="79" spans="1:11" x14ac:dyDescent="0.3">
      <c r="A79">
        <v>0.1</v>
      </c>
      <c r="B79" s="5"/>
      <c r="C79" s="2">
        <v>2.0906018648200899E-5</v>
      </c>
      <c r="D79" s="2">
        <v>2.8143173972499801E-7</v>
      </c>
      <c r="E79" s="2">
        <v>1.46150091119403E-6</v>
      </c>
      <c r="F79" s="10">
        <f t="shared" ref="F79:F90" si="8">F62*((E79/E62)^2 +(D79/D62)^2)^0.5</f>
        <v>7.5175789820697683E-2</v>
      </c>
      <c r="G79" s="4"/>
      <c r="H79" s="2"/>
      <c r="I79" s="2">
        <v>2.4434932696069799E-5</v>
      </c>
      <c r="J79" s="2">
        <v>2.5518609602937599E-5</v>
      </c>
      <c r="K79" s="10">
        <f>J79/I79</f>
        <v>1.0443494942403546</v>
      </c>
    </row>
    <row r="80" spans="1:11" x14ac:dyDescent="0.3">
      <c r="A80">
        <v>0.5</v>
      </c>
      <c r="B80" s="5"/>
      <c r="C80" s="2">
        <v>3.1327203465188001E-3</v>
      </c>
      <c r="D80" s="2">
        <v>1.5222069872849199E-6</v>
      </c>
      <c r="E80" s="2">
        <v>3.7622530224669299E-6</v>
      </c>
      <c r="F80" s="10">
        <f t="shared" si="8"/>
        <v>3.9379446327356661E-2</v>
      </c>
      <c r="G80" s="4"/>
      <c r="I80">
        <v>3.6561489620800698E-3</v>
      </c>
      <c r="J80">
        <v>3.8583728177792702E-3</v>
      </c>
      <c r="K80" s="11">
        <f t="shared" ref="K80:K89" si="9">J80/I80</f>
        <v>1.0553106172085915</v>
      </c>
    </row>
    <row r="81" spans="1:11" x14ac:dyDescent="0.3">
      <c r="A81">
        <v>1</v>
      </c>
      <c r="B81" s="5"/>
      <c r="C81" s="2">
        <v>6.2691724987101998E-3</v>
      </c>
      <c r="D81" s="2">
        <v>2.33807312394273E-6</v>
      </c>
      <c r="E81" s="2">
        <v>6.5127278910264096E-6</v>
      </c>
      <c r="F81" s="10">
        <f t="shared" si="8"/>
        <v>3.4692692812303069E-2</v>
      </c>
      <c r="G81" s="4"/>
      <c r="I81">
        <v>7.3167786817070497E-3</v>
      </c>
      <c r="J81">
        <v>7.7206053021012903E-3</v>
      </c>
      <c r="K81" s="10">
        <f t="shared" si="9"/>
        <v>1.0551918594181156</v>
      </c>
    </row>
    <row r="82" spans="1:11" x14ac:dyDescent="0.3">
      <c r="A82">
        <v>10</v>
      </c>
      <c r="B82" s="5"/>
      <c r="C82" s="2">
        <v>1.2558983712415E-2</v>
      </c>
      <c r="D82" s="2">
        <v>2.7701090496064399E-5</v>
      </c>
      <c r="E82" s="2">
        <v>3.8011060965548303E-5</v>
      </c>
      <c r="F82" s="10">
        <f t="shared" si="8"/>
        <v>2.4386896067040687E-2</v>
      </c>
      <c r="G82" s="4"/>
      <c r="I82">
        <v>1.4655010559957399E-2</v>
      </c>
      <c r="J82">
        <v>1.54708347850845E-2</v>
      </c>
      <c r="K82" s="11">
        <f t="shared" si="9"/>
        <v>1.0556686207621178</v>
      </c>
    </row>
    <row r="83" spans="1:11" x14ac:dyDescent="0.3">
      <c r="A83">
        <v>25</v>
      </c>
      <c r="B83" s="5"/>
      <c r="C83" s="2">
        <v>1.8782496824776201E-2</v>
      </c>
      <c r="D83" s="2">
        <v>8.0985715172972504E-5</v>
      </c>
      <c r="E83" s="2">
        <v>8.2936422592517207E-5</v>
      </c>
      <c r="F83" s="10">
        <f t="shared" si="8"/>
        <v>2.4408348565916203E-2</v>
      </c>
      <c r="G83" s="4"/>
      <c r="I83">
        <v>2.20520227131588E-2</v>
      </c>
      <c r="J83">
        <v>2.3279563002525702E-2</v>
      </c>
      <c r="K83" s="10">
        <f t="shared" si="9"/>
        <v>1.0556656550437167</v>
      </c>
    </row>
    <row r="84" spans="1:11" x14ac:dyDescent="0.3">
      <c r="A84">
        <v>50</v>
      </c>
      <c r="B84" s="5"/>
      <c r="C84" s="2">
        <v>2.51046376970986E-2</v>
      </c>
      <c r="D84">
        <v>1.14857385321631E-4</v>
      </c>
      <c r="E84">
        <v>1.40546480514001E-4</v>
      </c>
      <c r="F84" s="10">
        <f t="shared" si="8"/>
        <v>1.8873133491714433E-2</v>
      </c>
      <c r="G84" s="4"/>
      <c r="I84">
        <v>2.9379142051595902E-2</v>
      </c>
      <c r="J84">
        <v>3.0966693098777899E-2</v>
      </c>
      <c r="K84" s="11">
        <f t="shared" si="9"/>
        <v>1.0540366714723639</v>
      </c>
    </row>
    <row r="85" spans="1:11" x14ac:dyDescent="0.3">
      <c r="A85">
        <v>75</v>
      </c>
      <c r="B85" s="5"/>
      <c r="C85" s="2">
        <v>3.1476119846668899E-2</v>
      </c>
      <c r="D85">
        <v>1.6692001786006801E-4</v>
      </c>
      <c r="E85">
        <v>2.2355768083561999E-4</v>
      </c>
      <c r="F85" s="10">
        <f t="shared" si="8"/>
        <v>2.0107088599017175E-2</v>
      </c>
      <c r="G85" s="4"/>
      <c r="I85">
        <v>3.6804448452257998E-2</v>
      </c>
      <c r="J85">
        <v>3.8844686371276298E-2</v>
      </c>
      <c r="K85" s="10">
        <f t="shared" si="9"/>
        <v>1.0554345467685748</v>
      </c>
    </row>
    <row r="86" spans="1:11" x14ac:dyDescent="0.3">
      <c r="A86">
        <v>100</v>
      </c>
      <c r="B86" s="5"/>
      <c r="C86" s="2">
        <v>5.2878603388737497E-2</v>
      </c>
      <c r="D86">
        <v>2.77931449091848E-4</v>
      </c>
      <c r="E86">
        <v>2.1739476286188801E-4</v>
      </c>
      <c r="F86" s="10">
        <f t="shared" si="8"/>
        <v>1.8018315350781095E-2</v>
      </c>
      <c r="G86" s="4"/>
      <c r="I86">
        <v>6.1567552933483601E-2</v>
      </c>
      <c r="J86">
        <v>6.4958585716827305E-2</v>
      </c>
      <c r="K86" s="11">
        <f t="shared" si="9"/>
        <v>1.0550782453057264</v>
      </c>
    </row>
    <row r="87" spans="1:11" x14ac:dyDescent="0.3">
      <c r="A87">
        <v>150</v>
      </c>
      <c r="B87" s="5"/>
      <c r="C87" s="2">
        <v>0.107716927588289</v>
      </c>
      <c r="D87">
        <v>3.3888866496247497E-4</v>
      </c>
      <c r="E87">
        <v>4.2099807481717899E-4</v>
      </c>
      <c r="F87" s="10">
        <f t="shared" si="8"/>
        <v>1.7992932963347683E-2</v>
      </c>
      <c r="G87" s="4"/>
      <c r="I87">
        <v>0.124585487877085</v>
      </c>
      <c r="J87">
        <v>0.13088073929294</v>
      </c>
      <c r="K87" s="10">
        <f t="shared" si="9"/>
        <v>1.0505295722890764</v>
      </c>
    </row>
    <row r="88" spans="1:11" x14ac:dyDescent="0.3">
      <c r="A88">
        <v>250</v>
      </c>
      <c r="B88" s="5"/>
      <c r="C88" s="2">
        <v>0.16515386445267599</v>
      </c>
      <c r="D88">
        <v>6.0844630496931901E-4</v>
      </c>
      <c r="E88">
        <v>7.1735921087181002E-4</v>
      </c>
      <c r="F88" s="10">
        <f t="shared" si="8"/>
        <v>2.0082997872230529E-2</v>
      </c>
      <c r="G88" s="4"/>
      <c r="I88">
        <v>0.188315720076114</v>
      </c>
      <c r="J88">
        <v>0.19671890522285099</v>
      </c>
      <c r="K88" s="11">
        <f t="shared" si="9"/>
        <v>1.0446228554012409</v>
      </c>
    </row>
    <row r="89" spans="1:11" x14ac:dyDescent="0.3">
      <c r="A89">
        <v>500</v>
      </c>
      <c r="B89" s="5"/>
      <c r="C89" s="2">
        <v>0.22114304090137801</v>
      </c>
      <c r="D89">
        <v>1.3901143553867799E-3</v>
      </c>
      <c r="E89">
        <v>1.45703989958587E-3</v>
      </c>
      <c r="F89" s="10">
        <f t="shared" si="8"/>
        <v>2.1548753693625213E-2</v>
      </c>
      <c r="G89" s="4"/>
      <c r="I89">
        <v>0.25212873564071397</v>
      </c>
      <c r="J89">
        <v>0.26159631710660702</v>
      </c>
      <c r="K89" s="10">
        <f t="shared" si="9"/>
        <v>1.0375505847908761</v>
      </c>
    </row>
    <row r="90" spans="1:11" x14ac:dyDescent="0.3">
      <c r="A90">
        <v>750</v>
      </c>
      <c r="D90">
        <v>1.59024586083695E-3</v>
      </c>
      <c r="E90">
        <v>1.88927153592098E-3</v>
      </c>
      <c r="F90" s="10">
        <f t="shared" si="8"/>
        <v>1.8239532257896197E-2</v>
      </c>
    </row>
    <row r="91" spans="1:11" x14ac:dyDescent="0.3">
      <c r="A91">
        <v>999.99</v>
      </c>
      <c r="D91">
        <v>2.0916951916344802E-3</v>
      </c>
      <c r="E91">
        <v>2.14759074882869E-3</v>
      </c>
      <c r="F91" s="10">
        <f>F74*((E91/E74)^2 +(D91/D74)^2)^0.5</f>
        <v>1.7398828006913617E-2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2026-04-06T09:04:18Z</dcterms:modified>
</cp:coreProperties>
</file>