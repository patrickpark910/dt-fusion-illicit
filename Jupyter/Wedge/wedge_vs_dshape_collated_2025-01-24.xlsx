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CNP\emma-openmc\Jupyter\Wedge\"/>
    </mc:Choice>
  </mc:AlternateContent>
  <xr:revisionPtr revIDLastSave="0" documentId="13_ncr:1_{84B8586E-091D-4495-A020-90FCA384FCD0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24" i="3" l="1"/>
  <c r="G24" i="3" s="1"/>
  <c r="E23" i="3"/>
  <c r="E22" i="3"/>
  <c r="E21" i="3"/>
  <c r="E20" i="3"/>
  <c r="E19" i="3"/>
  <c r="G19" i="3" s="1"/>
  <c r="E18" i="3"/>
  <c r="E17" i="3"/>
  <c r="G17" i="3" s="1"/>
  <c r="E16" i="3"/>
  <c r="E15" i="3"/>
  <c r="G15" i="3" s="1"/>
  <c r="E14" i="3"/>
  <c r="E13" i="3"/>
  <c r="G13" i="3" s="1"/>
  <c r="E12" i="3"/>
  <c r="G12" i="3" s="1"/>
  <c r="F11" i="3"/>
  <c r="G14" i="3"/>
  <c r="G16" i="3"/>
  <c r="G18" i="3"/>
  <c r="G20" i="3"/>
  <c r="G21" i="3"/>
  <c r="G22" i="3"/>
  <c r="G23" i="3"/>
  <c r="G11" i="3"/>
  <c r="C11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L43" i="3" l="1"/>
  <c r="L42" i="3"/>
  <c r="L41" i="3"/>
  <c r="L40" i="3"/>
  <c r="L39" i="3"/>
  <c r="L38" i="3"/>
  <c r="L37" i="3"/>
  <c r="L36" i="3"/>
  <c r="L35" i="3"/>
  <c r="L34" i="3"/>
  <c r="L33" i="3"/>
  <c r="L32" i="3"/>
  <c r="L31" i="3"/>
  <c r="K24" i="3"/>
  <c r="L24" i="3" s="1"/>
  <c r="K23" i="3"/>
  <c r="L23" i="3" s="1"/>
  <c r="K22" i="3"/>
  <c r="L22" i="3" s="1"/>
  <c r="K21" i="3"/>
  <c r="L21" i="3" s="1"/>
  <c r="K20" i="3"/>
  <c r="K19" i="3"/>
  <c r="L19" i="3" s="1"/>
  <c r="K18" i="3"/>
  <c r="K17" i="3"/>
  <c r="K16" i="3"/>
  <c r="K15" i="3"/>
  <c r="K14" i="3"/>
  <c r="K13" i="3"/>
  <c r="L13" i="3" s="1"/>
  <c r="K12" i="3"/>
  <c r="L12" i="3" s="1"/>
  <c r="L20" i="3"/>
  <c r="L18" i="3"/>
  <c r="L17" i="3"/>
  <c r="L16" i="3"/>
  <c r="L15" i="3"/>
  <c r="L14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</calcChain>
</file>

<file path=xl/sharedStrings.xml><?xml version="1.0" encoding="utf-8"?>
<sst xmlns="http://schemas.openxmlformats.org/spreadsheetml/2006/main" count="25" uniqueCount="11">
  <si>
    <t>Fertile kg/m3</t>
  </si>
  <si>
    <t>D-shape</t>
  </si>
  <si>
    <t>TRITIUM BREEDING RATIO [ RXNS/SRC-N ]</t>
  </si>
  <si>
    <t>Wedge/D-shape</t>
  </si>
  <si>
    <t>Thorium BISO</t>
  </si>
  <si>
    <t>Uranium BISO</t>
  </si>
  <si>
    <t>FISSILE PRODUCTION RATE [ RXNS/SRC-N ]</t>
  </si>
  <si>
    <t>Wedge-C</t>
  </si>
  <si>
    <t>Wedge-A</t>
  </si>
  <si>
    <t>=C/A</t>
  </si>
  <si>
    <t>New D-shape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</si>
</sst>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8" formatCode="0.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1" fillId="2" borderId="0" xfId="0" applyFont="1" applyFill="1"/>
    <xf numFmtId="164" fontId="0" fillId="0" borderId="0" xfId="0" applyNumberFormat="1"/>
    <xf numFmtId="0" fontId="1" fillId="2" borderId="0" xfId="0" quotePrefix="1" applyFont="1" applyFill="1"/>
    <xf numFmtId="0" fontId="0" fillId="2" borderId="0" xfId="0" applyFill="1"/>
    <xf numFmtId="0" fontId="1" fillId="3" borderId="0" xfId="0" applyFont="1" applyFill="1"/>
    <xf numFmtId="165" fontId="0" fillId="0" borderId="0" xfId="0" applyNumberFormat="1"/>
    <xf numFmtId="165" fontId="0" fillId="4" borderId="0" xfId="0" applyNumberFormat="1" applyFill="1"/>
    <xf numFmtId="11" fontId="2" fillId="0" borderId="0" xfId="0" applyNumberFormat="1" applyFont="1"/>
    <xf numFmtId="0" fontId="3" fillId="0" borderId="0" xfId="0" applyFont="1"/>
    <xf numFmtId="11" fontId="4" fillId="0" borderId="0" xfId="0" applyNumberFormat="1" applyFont="1"/>
    <xf numFmtId="0" fontId="5" fillId="0" borderId="0" xfId="0" applyFont="1"/>
    <xf numFmtId="0" fontId="0" fillId="2" borderId="0" xfId="0" applyFont="1" applyFill="1"/>
    <xf numFmtId="168" fontId="0" fillId="2" borderId="0" xfId="0" applyNumberFormat="1" applyFont="1" applyFill="1"/>
    <xf numFmtId="168" fontId="1" fillId="2" borderId="0" xfId="0" quotePrefix="1" applyNumberFormat="1" applyFon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6C2-1180-4450-A3B0-0B08DD9AEC85}">
  <dimension ref="A1:Q43"/>
  <sheetViews>
    <sheetView tabSelected="1" topLeftCell="A7" workbookViewId="0">
      <selection activeCell="S28" sqref="S28"/>
    </sheetView>
  </sheetViews>
  <sheetFormatPr defaultRowHeight="14.4" x14ac:dyDescent="0.3"/>
  <cols>
    <col min="1" max="1" width="12.33203125" customWidth="1"/>
    <col min="2" max="2" width="2.109375" customWidth="1"/>
    <col min="3" max="4" width="12.21875" customWidth="1"/>
    <col min="5" max="5" width="15.88671875" customWidth="1"/>
    <col min="6" max="7" width="15.6640625" customWidth="1"/>
    <col min="8" max="8" width="2.77734375" customWidth="1"/>
    <col min="9" max="11" width="13.33203125" customWidth="1"/>
    <col min="12" max="12" width="14.21875" customWidth="1"/>
  </cols>
  <sheetData>
    <row r="1" spans="1:17" x14ac:dyDescent="0.3">
      <c r="I1" s="1"/>
      <c r="J1" s="1"/>
      <c r="K1" s="1"/>
    </row>
    <row r="2" spans="1:17" x14ac:dyDescent="0.3">
      <c r="I2" s="1"/>
      <c r="J2" s="1"/>
      <c r="K2" s="1"/>
      <c r="M2" s="1"/>
      <c r="N2" s="1"/>
      <c r="P2" s="1"/>
      <c r="Q2" s="1"/>
    </row>
    <row r="3" spans="1:17" x14ac:dyDescent="0.3">
      <c r="Q3" s="2"/>
    </row>
    <row r="7" spans="1:17" x14ac:dyDescent="0.3">
      <c r="B7" s="2"/>
      <c r="E7" s="2"/>
      <c r="F7" s="7"/>
      <c r="G7" s="7"/>
    </row>
    <row r="8" spans="1:17" x14ac:dyDescent="0.3">
      <c r="C8" s="15" t="s">
        <v>2</v>
      </c>
      <c r="D8" s="15"/>
      <c r="E8" s="16"/>
      <c r="I8" s="2"/>
      <c r="J8" s="2"/>
      <c r="K8" s="2"/>
    </row>
    <row r="9" spans="1:17" x14ac:dyDescent="0.3">
      <c r="C9" s="3" t="s">
        <v>5</v>
      </c>
      <c r="D9" s="3"/>
      <c r="E9" s="10"/>
      <c r="F9" s="3"/>
      <c r="G9" s="3"/>
      <c r="I9" s="3" t="s">
        <v>4</v>
      </c>
      <c r="J9" s="3"/>
      <c r="K9" s="10"/>
      <c r="L9" s="3"/>
    </row>
    <row r="10" spans="1:17" x14ac:dyDescent="0.3">
      <c r="A10" s="6" t="s">
        <v>0</v>
      </c>
      <c r="B10" s="6"/>
      <c r="C10" s="6" t="s">
        <v>1</v>
      </c>
      <c r="D10" s="6" t="s">
        <v>8</v>
      </c>
      <c r="E10" s="6" t="s">
        <v>7</v>
      </c>
      <c r="F10" s="8" t="s">
        <v>9</v>
      </c>
      <c r="G10" s="8" t="s">
        <v>10</v>
      </c>
      <c r="H10" s="9"/>
      <c r="I10" s="6" t="s">
        <v>1</v>
      </c>
      <c r="J10" s="6" t="s">
        <v>8</v>
      </c>
      <c r="K10" s="6" t="s">
        <v>7</v>
      </c>
      <c r="L10" s="8" t="s">
        <v>3</v>
      </c>
    </row>
    <row r="11" spans="1:17" x14ac:dyDescent="0.3">
      <c r="A11" s="17">
        <v>0</v>
      </c>
      <c r="B11" s="17"/>
      <c r="C11" s="18">
        <f>1.38911+0.015389</f>
        <v>1.4044990000000002</v>
      </c>
      <c r="D11" s="6">
        <v>1.3661399999999999</v>
      </c>
      <c r="E11" s="6">
        <f>1.37946-(1.37946-D11)</f>
        <v>1.3661399999999999</v>
      </c>
      <c r="F11" s="20">
        <f>E11/D11</f>
        <v>1</v>
      </c>
      <c r="G11" s="19">
        <f>C11+E11-D11</f>
        <v>1.4044990000000002</v>
      </c>
      <c r="H11" s="9"/>
      <c r="I11" s="6"/>
      <c r="J11" s="6"/>
      <c r="K11" s="6"/>
      <c r="L11" s="8"/>
    </row>
    <row r="12" spans="1:17" x14ac:dyDescent="0.3">
      <c r="A12">
        <v>0.1</v>
      </c>
      <c r="B12" s="5"/>
      <c r="C12">
        <v>1.40420707746021</v>
      </c>
      <c r="D12" s="11">
        <f>1.35286+0.0130625</f>
        <v>1.3659224999999999</v>
      </c>
      <c r="E12">
        <f>1.36234+0.0168074-(1.37946-D11)</f>
        <v>1.3658274000000001</v>
      </c>
      <c r="F12" s="11">
        <f>E12/D12</f>
        <v>0.99993037672342333</v>
      </c>
      <c r="G12" s="19">
        <f>C12+E12-D12</f>
        <v>1.40411197746021</v>
      </c>
      <c r="H12" s="4"/>
      <c r="I12">
        <v>1.4043892076542099</v>
      </c>
      <c r="J12">
        <v>1.3844700000000001</v>
      </c>
      <c r="K12">
        <f>1.36249+0.0168087</f>
        <v>1.3792986999999999</v>
      </c>
      <c r="L12" s="11">
        <f t="shared" ref="L12:L24" si="0">K12/I12</f>
        <v>0.9821342206865008</v>
      </c>
    </row>
    <row r="13" spans="1:17" s="4" customFormat="1" x14ac:dyDescent="0.3">
      <c r="A13" s="4">
        <v>0.5</v>
      </c>
      <c r="B13" s="5"/>
      <c r="C13" s="4">
        <v>1.4042408208581401</v>
      </c>
      <c r="D13" s="12">
        <f>1.35209+ 0.0130713</f>
        <v>1.3651613</v>
      </c>
      <c r="E13" s="4">
        <f>1.36221+0.0168081-(1.37946-D11)</f>
        <v>1.3656980999999999</v>
      </c>
      <c r="F13" s="12">
        <f t="shared" ref="F13:F24" si="1">E13/D13</f>
        <v>1.0003932136077984</v>
      </c>
      <c r="G13" s="19">
        <f t="shared" ref="G12:G24" si="2">C13+E13-D13</f>
        <v>1.4047776208581397</v>
      </c>
      <c r="I13" s="4">
        <v>1.40439738055425</v>
      </c>
      <c r="J13" s="4">
        <v>1.3831899999999999</v>
      </c>
      <c r="K13" s="4">
        <f>1.36217 +0.0168081</f>
        <v>1.3789781000000001</v>
      </c>
      <c r="L13" s="12">
        <f t="shared" si="0"/>
        <v>0.9819002221833979</v>
      </c>
    </row>
    <row r="14" spans="1:17" x14ac:dyDescent="0.3">
      <c r="A14">
        <v>1.5</v>
      </c>
      <c r="B14" s="5"/>
      <c r="C14">
        <v>1.4037049162311801</v>
      </c>
      <c r="D14" s="11">
        <f>1.35042+0.0130583</f>
        <v>1.3634782999999999</v>
      </c>
      <c r="E14">
        <f>1.3621+ 0.0168032-(1.37946-D11)</f>
        <v>1.3655832000000001</v>
      </c>
      <c r="F14" s="11">
        <f t="shared" si="1"/>
        <v>1.0015437722771241</v>
      </c>
      <c r="G14" s="19">
        <f t="shared" si="2"/>
        <v>1.4058098162311803</v>
      </c>
      <c r="H14" s="4"/>
      <c r="I14">
        <v>1.4041504591101699</v>
      </c>
      <c r="J14">
        <v>1.3858600000000001</v>
      </c>
      <c r="K14">
        <f xml:space="preserve"> 1.36198+0.0168031</f>
        <v>1.3787830999999999</v>
      </c>
      <c r="L14" s="11">
        <f t="shared" si="0"/>
        <v>0.98193401643991507</v>
      </c>
    </row>
    <row r="15" spans="1:17" s="4" customFormat="1" x14ac:dyDescent="0.3">
      <c r="A15" s="4">
        <v>15</v>
      </c>
      <c r="B15" s="5"/>
      <c r="C15" s="4">
        <v>1.3978225806626601</v>
      </c>
      <c r="D15" s="12">
        <f xml:space="preserve"> 1.3458+ 0.0130269</f>
        <v>1.3588269000000002</v>
      </c>
      <c r="E15" s="4">
        <f>1.35891+ 0.016749-(1.37946-D11)</f>
        <v>1.362339</v>
      </c>
      <c r="F15" s="12">
        <f t="shared" si="1"/>
        <v>1.0025846559263729</v>
      </c>
      <c r="G15" s="19">
        <f t="shared" si="2"/>
        <v>1.4013346806626601</v>
      </c>
      <c r="I15" s="4">
        <v>1.3977474767840601</v>
      </c>
      <c r="K15" s="4">
        <f>1.35723 +0.0167494</f>
        <v>1.3739793999999999</v>
      </c>
      <c r="L15" s="12">
        <f t="shared" si="0"/>
        <v>0.98299544289734953</v>
      </c>
    </row>
    <row r="16" spans="1:17" x14ac:dyDescent="0.3">
      <c r="A16">
        <v>30</v>
      </c>
      <c r="B16" s="5"/>
      <c r="C16">
        <v>1.3935791421766499</v>
      </c>
      <c r="D16" s="11">
        <f xml:space="preserve"> 1.34161+ 0.0129693</f>
        <v>1.3545792999999999</v>
      </c>
      <c r="E16">
        <f>1.35765 + 0.0167095-(1.37946-D11)</f>
        <v>1.3610395</v>
      </c>
      <c r="F16" s="11">
        <f t="shared" si="1"/>
        <v>1.0047691560029006</v>
      </c>
      <c r="G16" s="19">
        <f t="shared" si="2"/>
        <v>1.4000393421766499</v>
      </c>
      <c r="H16" s="4"/>
      <c r="I16">
        <v>1.3923333952149399</v>
      </c>
      <c r="K16">
        <f>1.35369+0.0167077</f>
        <v>1.3703977000000001</v>
      </c>
      <c r="L16" s="11">
        <f t="shared" si="0"/>
        <v>0.98424537162555559</v>
      </c>
    </row>
    <row r="17" spans="1:12" s="4" customFormat="1" x14ac:dyDescent="0.3">
      <c r="A17" s="4">
        <v>60</v>
      </c>
      <c r="B17" s="5"/>
      <c r="C17" s="4">
        <v>1.38536063754419</v>
      </c>
      <c r="D17" s="12">
        <f xml:space="preserve"> 1.33559+ 0.012842</f>
        <v>1.3484320000000001</v>
      </c>
      <c r="E17" s="4">
        <f>1.35209 + 0.0165954-(1.37946-D11)</f>
        <v>1.3553653999999999</v>
      </c>
      <c r="F17" s="12">
        <f t="shared" si="1"/>
        <v>1.0051418239851917</v>
      </c>
      <c r="G17" s="19">
        <f t="shared" si="2"/>
        <v>1.3922940375441899</v>
      </c>
      <c r="I17" s="4">
        <v>1.3811147115786999</v>
      </c>
      <c r="K17" s="4">
        <f xml:space="preserve"> 1.34701 +  0.0165972</f>
        <v>1.3636072000000001</v>
      </c>
      <c r="L17" s="12">
        <f t="shared" si="0"/>
        <v>0.9873236368913284</v>
      </c>
    </row>
    <row r="18" spans="1:12" x14ac:dyDescent="0.3">
      <c r="A18">
        <v>90</v>
      </c>
      <c r="B18" s="5"/>
      <c r="C18">
        <v>1.37856347972413</v>
      </c>
      <c r="D18" s="11">
        <f xml:space="preserve"> 1.32652+0.0127696</f>
        <v>1.3392895999999999</v>
      </c>
      <c r="E18">
        <f>1.34678 +0.0164828-(1.37946-D11)</f>
        <v>1.3499428</v>
      </c>
      <c r="F18" s="11">
        <f t="shared" si="1"/>
        <v>1.0079543662550654</v>
      </c>
      <c r="G18" s="19">
        <f t="shared" si="2"/>
        <v>1.3892166797241301</v>
      </c>
      <c r="H18" s="4"/>
      <c r="I18">
        <v>1.3698685473168299</v>
      </c>
      <c r="K18">
        <f>1.33852+ 0.0164785</f>
        <v>1.3549985</v>
      </c>
      <c r="L18" s="11">
        <f t="shared" si="0"/>
        <v>0.98914490930830112</v>
      </c>
    </row>
    <row r="19" spans="1:12" s="4" customFormat="1" x14ac:dyDescent="0.3">
      <c r="A19" s="4">
        <v>120</v>
      </c>
      <c r="B19" s="5"/>
      <c r="C19" s="4">
        <v>1.3699400435562701</v>
      </c>
      <c r="D19" s="12">
        <f xml:space="preserve"> 1.31981+0.0126516</f>
        <v>1.3324616</v>
      </c>
      <c r="E19" s="4">
        <f>1.34139 + 0.016384-(1.37946-D11)</f>
        <v>1.344454</v>
      </c>
      <c r="F19" s="12">
        <f t="shared" si="1"/>
        <v>1.0090001843205088</v>
      </c>
      <c r="G19" s="19">
        <f t="shared" si="2"/>
        <v>1.3819324435562701</v>
      </c>
      <c r="I19" s="4">
        <v>1.35986137171571</v>
      </c>
      <c r="K19" s="4">
        <f xml:space="preserve"> 1.33039+ 0.0163766</f>
        <v>1.3467666</v>
      </c>
      <c r="L19" s="12">
        <f t="shared" si="0"/>
        <v>0.99037050982690356</v>
      </c>
    </row>
    <row r="20" spans="1:12" x14ac:dyDescent="0.3">
      <c r="A20">
        <v>150</v>
      </c>
      <c r="B20" s="5"/>
      <c r="C20">
        <v>1.3618779251700099</v>
      </c>
      <c r="D20" s="11">
        <f xml:space="preserve"> 1.31449+0.0125614</f>
        <v>1.3270514</v>
      </c>
      <c r="E20">
        <f xml:space="preserve"> 1.33482 + 0.0162948-(1.37946-D11)</f>
        <v>1.3377948</v>
      </c>
      <c r="F20" s="11">
        <f t="shared" si="1"/>
        <v>1.0080956924501945</v>
      </c>
      <c r="G20" s="19">
        <f t="shared" si="2"/>
        <v>1.3726213251700099</v>
      </c>
      <c r="H20" s="4"/>
      <c r="I20">
        <v>1.34863286309854</v>
      </c>
      <c r="K20">
        <f xml:space="preserve"> 1.32211 +  0.0162819</f>
        <v>1.3383919</v>
      </c>
      <c r="L20" s="11">
        <f t="shared" si="0"/>
        <v>0.99240641142689423</v>
      </c>
    </row>
    <row r="21" spans="1:12" s="4" customFormat="1" x14ac:dyDescent="0.3">
      <c r="A21" s="4">
        <v>250</v>
      </c>
      <c r="B21" s="5"/>
      <c r="C21" s="4">
        <v>1.34128105403747</v>
      </c>
      <c r="D21" s="12">
        <f>1.29243+0.0122101</f>
        <v>1.3046400999999999</v>
      </c>
      <c r="E21" s="4">
        <f>1.32048+0.0159525-(1.37946-D11)</f>
        <v>1.3231125000000001</v>
      </c>
      <c r="F21" s="12">
        <f t="shared" si="1"/>
        <v>1.0141590006316688</v>
      </c>
      <c r="G21" s="19">
        <f t="shared" si="2"/>
        <v>1.3597534540374703</v>
      </c>
      <c r="I21" s="4">
        <v>1.31869938927708</v>
      </c>
      <c r="K21" s="4">
        <f xml:space="preserve"> 1.29819 +0.0159423</f>
        <v>1.3141323</v>
      </c>
      <c r="L21" s="12">
        <f t="shared" si="0"/>
        <v>0.9965366714247258</v>
      </c>
    </row>
    <row r="22" spans="1:12" x14ac:dyDescent="0.3">
      <c r="A22">
        <v>500</v>
      </c>
      <c r="B22" s="5"/>
      <c r="C22">
        <v>1.2896852557910301</v>
      </c>
      <c r="D22" s="11">
        <f xml:space="preserve"> 1.24511+0.0114002</f>
        <v>1.2565101999999999</v>
      </c>
      <c r="E22">
        <f>1.28524+ 0.0151806-(1.37946-D11)</f>
        <v>1.2871006</v>
      </c>
      <c r="F22" s="11">
        <f t="shared" si="1"/>
        <v>1.0243455246125341</v>
      </c>
      <c r="G22" s="19">
        <f t="shared" si="2"/>
        <v>1.3202756557910302</v>
      </c>
      <c r="H22" s="4"/>
      <c r="I22">
        <v>1.24433347413396</v>
      </c>
      <c r="K22">
        <f xml:space="preserve"> 1.2464 +0.0151558</f>
        <v>1.2615558</v>
      </c>
      <c r="L22" s="11">
        <f t="shared" si="0"/>
        <v>1.0138406032016671</v>
      </c>
    </row>
    <row r="23" spans="1:12" s="4" customFormat="1" x14ac:dyDescent="0.3">
      <c r="A23" s="4">
        <v>750</v>
      </c>
      <c r="B23" s="5"/>
      <c r="C23" s="4">
        <v>1.24225887840578</v>
      </c>
      <c r="D23" s="12">
        <f>1.19988+ 0.0105698</f>
        <v>1.2104498000000001</v>
      </c>
      <c r="E23" s="4">
        <f xml:space="preserve"> 1.25348 + 0.0144156-(1.37946-D11)</f>
        <v>1.2545755999999999</v>
      </c>
      <c r="F23" s="12">
        <f t="shared" si="1"/>
        <v>1.0364540520391674</v>
      </c>
      <c r="G23" s="19">
        <f t="shared" si="2"/>
        <v>1.2863846784057795</v>
      </c>
      <c r="I23" s="4">
        <v>1.1765306054398399</v>
      </c>
      <c r="K23" s="4">
        <f>1.19574+0.0143624</f>
        <v>1.2101024</v>
      </c>
      <c r="L23" s="12">
        <f t="shared" si="0"/>
        <v>1.0285345696957959</v>
      </c>
    </row>
    <row r="24" spans="1:12" x14ac:dyDescent="0.3">
      <c r="A24">
        <v>1000</v>
      </c>
      <c r="B24" s="5"/>
      <c r="C24">
        <v>1.1938794039418501</v>
      </c>
      <c r="D24" s="11">
        <f>1.15479+0.00980097</f>
        <v>1.1645909699999999</v>
      </c>
      <c r="E24">
        <f xml:space="preserve"> 1.22694+ 0.0136957-(1.37946-D11)</f>
        <v>1.2273156999999999</v>
      </c>
      <c r="F24" s="11">
        <f t="shared" si="1"/>
        <v>1.0538598800916343</v>
      </c>
      <c r="G24" s="19">
        <f t="shared" si="2"/>
        <v>1.2566041339418499</v>
      </c>
      <c r="H24" s="4"/>
      <c r="I24">
        <v>1.1108715265371401</v>
      </c>
      <c r="K24">
        <f>1.1507+0.013642</f>
        <v>1.164342</v>
      </c>
      <c r="L24" s="11">
        <f t="shared" si="0"/>
        <v>1.0481338050220268</v>
      </c>
    </row>
    <row r="28" spans="1:12" x14ac:dyDescent="0.3">
      <c r="C28" s="13" t="s">
        <v>6</v>
      </c>
      <c r="D28" s="13"/>
      <c r="E28" s="14"/>
      <c r="F28" s="14"/>
      <c r="G28" s="14"/>
      <c r="I28" s="2"/>
      <c r="J28" s="2"/>
      <c r="K28" s="2"/>
    </row>
    <row r="29" spans="1:12" x14ac:dyDescent="0.3">
      <c r="C29" s="3" t="s">
        <v>5</v>
      </c>
      <c r="D29" s="3"/>
      <c r="E29" s="10"/>
      <c r="F29" s="3"/>
      <c r="G29" s="3"/>
      <c r="I29" s="3" t="s">
        <v>4</v>
      </c>
      <c r="J29" s="3"/>
      <c r="K29" s="10"/>
      <c r="L29" s="3"/>
    </row>
    <row r="30" spans="1:12" x14ac:dyDescent="0.3">
      <c r="A30" s="6" t="s">
        <v>0</v>
      </c>
      <c r="B30" s="6"/>
      <c r="C30" s="6" t="s">
        <v>1</v>
      </c>
      <c r="D30" s="6" t="s">
        <v>8</v>
      </c>
      <c r="E30" s="6" t="s">
        <v>7</v>
      </c>
      <c r="F30" s="8" t="s">
        <v>9</v>
      </c>
      <c r="G30" s="8"/>
      <c r="H30" s="9"/>
      <c r="I30" s="6" t="s">
        <v>1</v>
      </c>
      <c r="J30" s="6" t="s">
        <v>8</v>
      </c>
      <c r="K30" s="6" t="s">
        <v>7</v>
      </c>
      <c r="L30" s="8" t="s">
        <v>3</v>
      </c>
    </row>
    <row r="31" spans="1:12" x14ac:dyDescent="0.3">
      <c r="A31">
        <v>0.1</v>
      </c>
      <c r="B31" s="5"/>
      <c r="C31" s="2">
        <v>3.52725672373683E-5</v>
      </c>
      <c r="D31" s="2">
        <v>3.4428100000000003E-5</v>
      </c>
      <c r="E31" s="2">
        <v>2.1398000000000001E-5</v>
      </c>
      <c r="F31" s="11">
        <f>E31/D31</f>
        <v>0.62152718273735696</v>
      </c>
      <c r="G31" s="11"/>
      <c r="H31" s="4"/>
      <c r="I31" s="2">
        <v>3.2364516810043102E-5</v>
      </c>
      <c r="J31" s="2"/>
      <c r="K31" s="2">
        <v>2.3511199999999999E-5</v>
      </c>
      <c r="L31" s="11">
        <f t="shared" ref="L31:L43" si="3">K31/I31</f>
        <v>0.7264498999936928</v>
      </c>
    </row>
    <row r="32" spans="1:12" x14ac:dyDescent="0.3">
      <c r="A32" s="4">
        <v>0.5</v>
      </c>
      <c r="B32" s="5"/>
      <c r="C32" s="5">
        <v>1.76088265923015E-4</v>
      </c>
      <c r="D32" s="5">
        <v>1.7116899999999999E-4</v>
      </c>
      <c r="E32" s="5">
        <v>1.0739300000000001E-4</v>
      </c>
      <c r="F32" s="12">
        <f t="shared" ref="F32:F43" si="4">E32/D32</f>
        <v>0.62740916871629804</v>
      </c>
      <c r="G32" s="12"/>
      <c r="H32" s="4"/>
      <c r="I32">
        <v>1.617388801088E-4</v>
      </c>
      <c r="K32" s="4">
        <v>1.19424E-4</v>
      </c>
      <c r="L32" s="12">
        <f t="shared" si="3"/>
        <v>0.73837533634253416</v>
      </c>
    </row>
    <row r="33" spans="1:12" x14ac:dyDescent="0.3">
      <c r="A33">
        <v>1.5</v>
      </c>
      <c r="B33" s="5"/>
      <c r="C33" s="2">
        <v>5.2684723504348998E-4</v>
      </c>
      <c r="D33" s="2">
        <v>5.1237400000000001E-4</v>
      </c>
      <c r="E33" s="2">
        <v>3.2153200000000002E-4</v>
      </c>
      <c r="F33" s="11">
        <f t="shared" si="4"/>
        <v>0.62753379367415207</v>
      </c>
      <c r="G33" s="11"/>
      <c r="H33" s="4"/>
      <c r="I33">
        <v>4.8469625132600001E-4</v>
      </c>
      <c r="K33">
        <v>3.5842699999999998E-4</v>
      </c>
      <c r="L33" s="11">
        <f t="shared" si="3"/>
        <v>0.73948787311525321</v>
      </c>
    </row>
    <row r="34" spans="1:12" x14ac:dyDescent="0.3">
      <c r="A34" s="4">
        <v>15</v>
      </c>
      <c r="B34" s="5"/>
      <c r="C34" s="5">
        <v>5.02535867346246E-3</v>
      </c>
      <c r="D34" s="5">
        <v>4.8734900000000003E-3</v>
      </c>
      <c r="E34" s="5">
        <v>3.2092700000000002E-3</v>
      </c>
      <c r="F34" s="12">
        <f t="shared" si="4"/>
        <v>0.65851576590903027</v>
      </c>
      <c r="G34" s="12"/>
      <c r="H34" s="4"/>
      <c r="I34">
        <v>4.7442437671726999E-3</v>
      </c>
      <c r="K34" s="4">
        <v>3.6266200000000001E-3</v>
      </c>
      <c r="L34" s="12">
        <f t="shared" si="3"/>
        <v>0.76442530737860037</v>
      </c>
    </row>
    <row r="35" spans="1:12" x14ac:dyDescent="0.3">
      <c r="A35">
        <v>30</v>
      </c>
      <c r="B35" s="5"/>
      <c r="C35" s="2">
        <v>9.6096776712520909E-3</v>
      </c>
      <c r="D35" s="2">
        <v>9.3206399999999998E-3</v>
      </c>
      <c r="E35" s="2">
        <v>6.3941700000000002E-3</v>
      </c>
      <c r="F35" s="11">
        <f t="shared" si="4"/>
        <v>0.68602263363889182</v>
      </c>
      <c r="G35" s="11"/>
      <c r="H35" s="4"/>
      <c r="I35">
        <v>9.3381817414101998E-3</v>
      </c>
      <c r="K35">
        <v>7.1111300000000002E-3</v>
      </c>
      <c r="L35" s="11">
        <f t="shared" si="3"/>
        <v>0.76151120174344744</v>
      </c>
    </row>
    <row r="36" spans="1:12" x14ac:dyDescent="0.3">
      <c r="A36" s="4">
        <v>60</v>
      </c>
      <c r="B36" s="5"/>
      <c r="C36" s="5">
        <v>1.7956202904139199E-2</v>
      </c>
      <c r="D36" s="5">
        <v>1.75224E-2</v>
      </c>
      <c r="E36" s="5">
        <v>1.24683E-2</v>
      </c>
      <c r="F36" s="12">
        <f t="shared" si="4"/>
        <v>0.71156348445418438</v>
      </c>
      <c r="G36" s="12"/>
      <c r="H36" s="4"/>
      <c r="I36">
        <v>1.8093633576609602E-2</v>
      </c>
      <c r="K36" s="4">
        <v>1.4057099999999999E-2</v>
      </c>
      <c r="L36" s="12">
        <f t="shared" si="3"/>
        <v>0.77690862592532006</v>
      </c>
    </row>
    <row r="37" spans="1:12" x14ac:dyDescent="0.3">
      <c r="A37">
        <v>90</v>
      </c>
      <c r="B37" s="5"/>
      <c r="C37" s="2">
        <v>2.54716677488637E-2</v>
      </c>
      <c r="D37" s="2">
        <v>2.4773900000000001E-2</v>
      </c>
      <c r="E37" s="2">
        <v>1.86032E-2</v>
      </c>
      <c r="F37" s="11">
        <f t="shared" si="4"/>
        <v>0.75091931427833325</v>
      </c>
      <c r="G37" s="11"/>
      <c r="H37" s="4"/>
      <c r="I37">
        <v>2.63480432958439E-2</v>
      </c>
      <c r="K37">
        <v>2.06655E-2</v>
      </c>
      <c r="L37" s="11">
        <f t="shared" si="3"/>
        <v>0.78432769249547063</v>
      </c>
    </row>
    <row r="38" spans="1:12" x14ac:dyDescent="0.3">
      <c r="A38" s="4">
        <v>120</v>
      </c>
      <c r="B38" s="5"/>
      <c r="C38" s="5">
        <v>3.2417642839879697E-2</v>
      </c>
      <c r="D38" s="5">
        <v>3.1542500000000001E-2</v>
      </c>
      <c r="E38" s="5">
        <v>2.4458799999999999E-2</v>
      </c>
      <c r="F38" s="12">
        <f t="shared" si="4"/>
        <v>0.77542363477847343</v>
      </c>
      <c r="G38" s="12"/>
      <c r="H38" s="4"/>
      <c r="I38">
        <v>3.4169678168819703E-2</v>
      </c>
      <c r="K38" s="4">
        <v>2.7493E-2</v>
      </c>
      <c r="L38" s="12">
        <f t="shared" si="3"/>
        <v>0.80460225186105905</v>
      </c>
    </row>
    <row r="39" spans="1:12" x14ac:dyDescent="0.3">
      <c r="A39">
        <v>150</v>
      </c>
      <c r="B39" s="5"/>
      <c r="C39" s="2">
        <v>3.9055212834252402E-2</v>
      </c>
      <c r="D39" s="2">
        <v>3.8125399999999997E-2</v>
      </c>
      <c r="E39" s="2">
        <v>2.9931300000000001E-2</v>
      </c>
      <c r="F39" s="11">
        <f t="shared" si="4"/>
        <v>0.78507504183562671</v>
      </c>
      <c r="G39" s="11"/>
      <c r="H39" s="4"/>
      <c r="I39">
        <v>4.1796462699614498E-2</v>
      </c>
      <c r="K39">
        <v>3.3603399999999999E-2</v>
      </c>
      <c r="L39" s="11">
        <f t="shared" si="3"/>
        <v>0.80397712700003043</v>
      </c>
    </row>
    <row r="40" spans="1:12" x14ac:dyDescent="0.3">
      <c r="A40" s="4">
        <v>250</v>
      </c>
      <c r="B40" s="5"/>
      <c r="C40" s="5">
        <v>5.8983323870902299E-2</v>
      </c>
      <c r="D40" s="5">
        <v>5.76763E-2</v>
      </c>
      <c r="E40" s="5">
        <v>4.8447299999999999E-2</v>
      </c>
      <c r="F40" s="12">
        <f t="shared" si="4"/>
        <v>0.83998626818988043</v>
      </c>
      <c r="G40" s="12"/>
      <c r="H40" s="4"/>
      <c r="I40">
        <v>6.5796691976300697E-2</v>
      </c>
      <c r="K40" s="4">
        <v>5.4200499999999999E-2</v>
      </c>
      <c r="L40" s="12">
        <f t="shared" si="3"/>
        <v>0.82375721897268739</v>
      </c>
    </row>
    <row r="41" spans="1:12" x14ac:dyDescent="0.3">
      <c r="A41">
        <v>500</v>
      </c>
      <c r="B41" s="5"/>
      <c r="C41" s="2">
        <v>0.103595084893309</v>
      </c>
      <c r="D41" s="2">
        <v>0.101622</v>
      </c>
      <c r="E41" s="2">
        <v>8.9392399999999997E-2</v>
      </c>
      <c r="F41" s="11">
        <f t="shared" si="4"/>
        <v>0.87965598000432965</v>
      </c>
      <c r="G41" s="11"/>
      <c r="H41" s="4"/>
      <c r="I41">
        <v>0.11839645185777101</v>
      </c>
      <c r="K41">
        <v>0.100121</v>
      </c>
      <c r="L41" s="11">
        <f t="shared" si="3"/>
        <v>0.84564189575777826</v>
      </c>
    </row>
    <row r="42" spans="1:12" x14ac:dyDescent="0.3">
      <c r="A42" s="4">
        <v>750</v>
      </c>
      <c r="B42" s="5"/>
      <c r="C42" s="5">
        <v>0.14519436153500101</v>
      </c>
      <c r="D42" s="5">
        <v>0.142043</v>
      </c>
      <c r="E42" s="5">
        <v>0.12684899999999999</v>
      </c>
      <c r="F42" s="12">
        <f t="shared" si="4"/>
        <v>0.8930323915997268</v>
      </c>
      <c r="G42" s="12"/>
      <c r="H42" s="4"/>
      <c r="I42">
        <v>0.165934052581929</v>
      </c>
      <c r="K42" s="4">
        <v>0.14074300000000001</v>
      </c>
      <c r="L42" s="12">
        <f t="shared" si="3"/>
        <v>0.84818635964133371</v>
      </c>
    </row>
    <row r="43" spans="1:12" x14ac:dyDescent="0.3">
      <c r="A43">
        <v>1000</v>
      </c>
      <c r="B43" s="5"/>
      <c r="C43" s="2">
        <v>0.185920101577397</v>
      </c>
      <c r="D43" s="2">
        <v>0.181612</v>
      </c>
      <c r="E43" s="2">
        <v>0.162772</v>
      </c>
      <c r="F43" s="11">
        <f t="shared" si="4"/>
        <v>0.89626236151796135</v>
      </c>
      <c r="G43" s="11"/>
      <c r="H43" s="4"/>
      <c r="I43">
        <v>0.211237572970251</v>
      </c>
      <c r="K43">
        <v>0.17777100000000001</v>
      </c>
      <c r="L43" s="11">
        <f t="shared" si="3"/>
        <v>0.8415690329155403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2026-01-30T23:01:59Z</dcterms:modified>
</cp:coreProperties>
</file>