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CNP\emma-openmc\Jupyter\Wedge\"/>
    </mc:Choice>
  </mc:AlternateContent>
  <xr:revisionPtr revIDLastSave="0" documentId="13_ncr:1_{F94E60D6-2905-475C-AB82-69F19C78A886}" xr6:coauthVersionLast="47" xr6:coauthVersionMax="47" xr10:uidLastSave="{00000000-0000-0000-0000-000000000000}"/>
  <bookViews>
    <workbookView xWindow="-108" yWindow="-108" windowWidth="41496" windowHeight="17496" activeTab="1" xr2:uid="{00000000-000D-0000-FFFF-FFFF00000000}"/>
  </bookViews>
  <sheets>
    <sheet name="Fissile production" sheetId="2" r:id="rId1"/>
    <sheet name="TB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3" l="1"/>
  <c r="J19" i="3"/>
  <c r="J20" i="3"/>
  <c r="J21" i="3"/>
  <c r="J22" i="3"/>
  <c r="J17" i="3"/>
  <c r="J16" i="3"/>
  <c r="J15" i="3"/>
  <c r="J14" i="3"/>
  <c r="J13" i="3"/>
  <c r="J12" i="3"/>
  <c r="J11" i="3"/>
  <c r="J10" i="3"/>
  <c r="M44" i="3"/>
  <c r="J56" i="3"/>
  <c r="J55" i="3"/>
  <c r="J54" i="3"/>
  <c r="J53" i="3"/>
  <c r="J52" i="3"/>
  <c r="J51" i="3"/>
  <c r="J50" i="3"/>
  <c r="J49" i="3"/>
  <c r="J48" i="3"/>
  <c r="M48" i="3" s="1"/>
  <c r="J47" i="3"/>
  <c r="J46" i="3"/>
  <c r="J45" i="3"/>
  <c r="J44" i="3"/>
  <c r="K53" i="3"/>
  <c r="M56" i="3"/>
  <c r="L56" i="3"/>
  <c r="K56" i="3"/>
  <c r="N56" i="3" s="1"/>
  <c r="M55" i="3"/>
  <c r="L55" i="3"/>
  <c r="K55" i="3"/>
  <c r="N55" i="3" s="1"/>
  <c r="M54" i="3"/>
  <c r="L54" i="3"/>
  <c r="K54" i="3"/>
  <c r="N54" i="3" s="1"/>
  <c r="M53" i="3"/>
  <c r="L53" i="3"/>
  <c r="N53" i="3"/>
  <c r="M52" i="3"/>
  <c r="L52" i="3"/>
  <c r="K52" i="3"/>
  <c r="N52" i="3" s="1"/>
  <c r="M51" i="3"/>
  <c r="L51" i="3"/>
  <c r="K51" i="3"/>
  <c r="N51" i="3" s="1"/>
  <c r="M50" i="3"/>
  <c r="L50" i="3"/>
  <c r="K50" i="3"/>
  <c r="N50" i="3" s="1"/>
  <c r="M49" i="3"/>
  <c r="L49" i="3"/>
  <c r="K49" i="3"/>
  <c r="N49" i="3" s="1"/>
  <c r="L48" i="3"/>
  <c r="K48" i="3"/>
  <c r="N48" i="3" s="1"/>
  <c r="M47" i="3"/>
  <c r="L47" i="3"/>
  <c r="K47" i="3"/>
  <c r="N47" i="3" s="1"/>
  <c r="M46" i="3"/>
  <c r="L46" i="3"/>
  <c r="K46" i="3"/>
  <c r="N46" i="3" s="1"/>
  <c r="M45" i="3"/>
  <c r="L45" i="3"/>
  <c r="K45" i="3"/>
  <c r="N45" i="3" s="1"/>
  <c r="L44" i="3"/>
  <c r="K44" i="3"/>
  <c r="N44" i="3" s="1"/>
  <c r="M39" i="3"/>
  <c r="L39" i="3"/>
  <c r="N39" i="3"/>
  <c r="M38" i="3"/>
  <c r="L38" i="3"/>
  <c r="N38" i="3"/>
  <c r="M37" i="3"/>
  <c r="L37" i="3"/>
  <c r="N37" i="3"/>
  <c r="M36" i="3"/>
  <c r="L36" i="3"/>
  <c r="N36" i="3"/>
  <c r="M35" i="3"/>
  <c r="L35" i="3"/>
  <c r="N35" i="3"/>
  <c r="M34" i="3"/>
  <c r="L34" i="3"/>
  <c r="N34" i="3"/>
  <c r="N33" i="3"/>
  <c r="M33" i="3"/>
  <c r="L33" i="3"/>
  <c r="N32" i="3"/>
  <c r="M32" i="3"/>
  <c r="L32" i="3"/>
  <c r="N31" i="3"/>
  <c r="M31" i="3"/>
  <c r="L31" i="3"/>
  <c r="M30" i="3"/>
  <c r="L30" i="3"/>
  <c r="N30" i="3"/>
  <c r="M29" i="3"/>
  <c r="L29" i="3"/>
  <c r="N29" i="3"/>
  <c r="N28" i="3"/>
  <c r="M28" i="3"/>
  <c r="L28" i="3"/>
  <c r="M27" i="3"/>
  <c r="L27" i="3"/>
  <c r="N27" i="3"/>
  <c r="M22" i="3"/>
  <c r="L22" i="3"/>
  <c r="N22" i="3"/>
  <c r="M21" i="3"/>
  <c r="L21" i="3"/>
  <c r="N21" i="3"/>
  <c r="M20" i="3"/>
  <c r="L20" i="3"/>
  <c r="N20" i="3"/>
  <c r="M19" i="3"/>
  <c r="L19" i="3"/>
  <c r="N19" i="3"/>
  <c r="M18" i="3"/>
  <c r="L18" i="3"/>
  <c r="N18" i="3"/>
  <c r="M17" i="3"/>
  <c r="L17" i="3"/>
  <c r="N17" i="3"/>
  <c r="N16" i="3"/>
  <c r="M16" i="3"/>
  <c r="L16" i="3"/>
  <c r="N15" i="3"/>
  <c r="M15" i="3"/>
  <c r="L15" i="3"/>
  <c r="M14" i="3"/>
  <c r="L14" i="3"/>
  <c r="N14" i="3"/>
  <c r="N13" i="3"/>
  <c r="M13" i="3"/>
  <c r="L13" i="3"/>
  <c r="M12" i="3"/>
  <c r="L12" i="3"/>
  <c r="N12" i="3"/>
  <c r="N11" i="3"/>
  <c r="M11" i="3"/>
  <c r="L11" i="3"/>
  <c r="N10" i="3"/>
  <c r="M10" i="3"/>
  <c r="L10" i="3"/>
  <c r="Q4" i="3"/>
  <c r="Q3" i="3"/>
  <c r="Q5" i="3" s="1"/>
  <c r="K53" i="2"/>
  <c r="N53" i="2" s="1"/>
  <c r="K54" i="2"/>
  <c r="N54" i="2" s="1"/>
  <c r="K11" i="2"/>
  <c r="K12" i="2"/>
  <c r="K13" i="2"/>
  <c r="K14" i="2"/>
  <c r="N14" i="2" s="1"/>
  <c r="K15" i="2"/>
  <c r="K16" i="2"/>
  <c r="K17" i="2"/>
  <c r="K18" i="2"/>
  <c r="K19" i="2"/>
  <c r="K20" i="2"/>
  <c r="K21" i="2"/>
  <c r="K22" i="2"/>
  <c r="K27" i="2"/>
  <c r="N27" i="2" s="1"/>
  <c r="K10" i="2"/>
  <c r="N10" i="2" s="1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K56" i="2"/>
  <c r="N56" i="2" s="1"/>
  <c r="K55" i="2"/>
  <c r="N55" i="2" s="1"/>
  <c r="K52" i="2"/>
  <c r="N52" i="2" s="1"/>
  <c r="K51" i="2"/>
  <c r="N51" i="2" s="1"/>
  <c r="K50" i="2"/>
  <c r="N50" i="2" s="1"/>
  <c r="K49" i="2"/>
  <c r="N49" i="2" s="1"/>
  <c r="K48" i="2"/>
  <c r="N48" i="2" s="1"/>
  <c r="K47" i="2"/>
  <c r="N47" i="2" s="1"/>
  <c r="K46" i="2"/>
  <c r="N46" i="2" s="1"/>
  <c r="K45" i="2"/>
  <c r="N45" i="2" s="1"/>
  <c r="K44" i="2"/>
  <c r="N44" i="2" s="1"/>
  <c r="M28" i="2"/>
  <c r="M29" i="2"/>
  <c r="M30" i="2"/>
  <c r="M31" i="2"/>
  <c r="M32" i="2"/>
  <c r="M33" i="2"/>
  <c r="M34" i="2"/>
  <c r="M35" i="2"/>
  <c r="M36" i="2"/>
  <c r="M37" i="2"/>
  <c r="M38" i="2"/>
  <c r="M39" i="2"/>
  <c r="M27" i="2"/>
  <c r="L28" i="2"/>
  <c r="L29" i="2"/>
  <c r="L30" i="2"/>
  <c r="L31" i="2"/>
  <c r="L32" i="2"/>
  <c r="L33" i="2"/>
  <c r="L34" i="2"/>
  <c r="L35" i="2"/>
  <c r="L36" i="2"/>
  <c r="L37" i="2"/>
  <c r="L38" i="2"/>
  <c r="L39" i="2"/>
  <c r="L27" i="2"/>
  <c r="L11" i="2"/>
  <c r="L12" i="2"/>
  <c r="L13" i="2"/>
  <c r="L14" i="2"/>
  <c r="L15" i="2"/>
  <c r="L16" i="2"/>
  <c r="L17" i="2"/>
  <c r="L18" i="2"/>
  <c r="L19" i="2"/>
  <c r="L20" i="2"/>
  <c r="L21" i="2"/>
  <c r="L22" i="2"/>
  <c r="L10" i="2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B27" i="3" l="1"/>
  <c r="B29" i="3"/>
  <c r="B50" i="3"/>
  <c r="B10" i="3"/>
  <c r="B33" i="3"/>
  <c r="B56" i="3"/>
  <c r="B16" i="3"/>
  <c r="B39" i="3"/>
  <c r="B22" i="3"/>
  <c r="B49" i="3"/>
  <c r="B15" i="3"/>
  <c r="B34" i="3"/>
  <c r="B32" i="3"/>
  <c r="B46" i="3"/>
  <c r="B44" i="3"/>
  <c r="B55" i="3"/>
  <c r="B38" i="3"/>
  <c r="B31" i="3"/>
  <c r="B21" i="3"/>
  <c r="B17" i="3"/>
  <c r="B48" i="3"/>
  <c r="B54" i="3"/>
  <c r="B14" i="3"/>
  <c r="B37" i="3"/>
  <c r="B20" i="3"/>
  <c r="B36" i="3"/>
  <c r="B19" i="3"/>
  <c r="B18" i="3"/>
  <c r="B47" i="3"/>
  <c r="B30" i="3"/>
  <c r="B12" i="3"/>
  <c r="B35" i="3"/>
  <c r="B53" i="3"/>
  <c r="B13" i="3"/>
  <c r="B52" i="3"/>
  <c r="B45" i="3"/>
  <c r="B28" i="3"/>
  <c r="B11" i="3"/>
  <c r="B51" i="3"/>
  <c r="M11" i="2"/>
  <c r="M12" i="2"/>
  <c r="M13" i="2"/>
  <c r="M14" i="2"/>
  <c r="M15" i="2"/>
  <c r="M16" i="2"/>
  <c r="M17" i="2"/>
  <c r="M18" i="2"/>
  <c r="M19" i="2"/>
  <c r="M20" i="2"/>
  <c r="M21" i="2"/>
  <c r="M22" i="2"/>
  <c r="M10" i="2"/>
  <c r="N11" i="2" l="1"/>
  <c r="N12" i="2"/>
  <c r="N13" i="2"/>
  <c r="N15" i="2"/>
  <c r="N16" i="2"/>
  <c r="N17" i="2"/>
  <c r="N18" i="2"/>
  <c r="N19" i="2"/>
  <c r="N20" i="2"/>
  <c r="N21" i="2"/>
  <c r="N22" i="2"/>
  <c r="Q3" i="2"/>
  <c r="Q5" i="2" s="1"/>
  <c r="Q4" i="2"/>
  <c r="B50" i="2" l="1"/>
  <c r="B49" i="2"/>
  <c r="B46" i="2"/>
  <c r="B45" i="2"/>
  <c r="B55" i="2"/>
  <c r="B44" i="2"/>
  <c r="B51" i="2"/>
  <c r="B48" i="2"/>
  <c r="B47" i="2"/>
  <c r="B56" i="2"/>
  <c r="B54" i="2"/>
  <c r="B53" i="2"/>
  <c r="B52" i="2"/>
  <c r="B11" i="2"/>
  <c r="B37" i="2"/>
  <c r="B39" i="2"/>
  <c r="B36" i="2"/>
  <c r="B33" i="2"/>
  <c r="B38" i="2"/>
  <c r="B34" i="2"/>
  <c r="B30" i="2"/>
  <c r="B29" i="2"/>
  <c r="B27" i="2"/>
  <c r="B32" i="2"/>
  <c r="B35" i="2"/>
  <c r="B28" i="2"/>
  <c r="B31" i="2"/>
  <c r="B19" i="2"/>
  <c r="B21" i="2"/>
  <c r="B20" i="2"/>
  <c r="B22" i="2"/>
  <c r="B18" i="2"/>
  <c r="B17" i="2"/>
  <c r="B14" i="2"/>
  <c r="B12" i="2"/>
  <c r="B16" i="2"/>
  <c r="B13" i="2"/>
  <c r="B10" i="2"/>
  <c r="B15" i="2"/>
</calcChain>
</file>

<file path=xl/sharedStrings.xml><?xml version="1.0" encoding="utf-8"?>
<sst xmlns="http://schemas.openxmlformats.org/spreadsheetml/2006/main" count="165" uniqueCount="46">
  <si>
    <t>BISO vol%</t>
  </si>
  <si>
    <t>Fertile kg/m3</t>
  </si>
  <si>
    <t>BISO/cm3</t>
  </si>
  <si>
    <t>A</t>
  </si>
  <si>
    <t>B</t>
  </si>
  <si>
    <t>HELPERS</t>
  </si>
  <si>
    <t>Value</t>
  </si>
  <si>
    <t>Name</t>
  </si>
  <si>
    <t>V_biso</t>
  </si>
  <si>
    <t>V_uo2</t>
  </si>
  <si>
    <t>F1</t>
  </si>
  <si>
    <t>N_biso_B</t>
  </si>
  <si>
    <t>N_biso_C</t>
  </si>
  <si>
    <t>U_at</t>
  </si>
  <si>
    <t>b1 [cm]</t>
  </si>
  <si>
    <t>b2 [cm]</t>
  </si>
  <si>
    <t>VARIABLES</t>
  </si>
  <si>
    <t>What MCNP tallies (green) give you are σ ϕ so this spreadsheet is to multiply by N</t>
  </si>
  <si>
    <t>I just multiply by the number of U-238 atoms in the whole system</t>
  </si>
  <si>
    <t>So my results (gold) are the total number of U-238 (n,g) reactions in the model per src-n</t>
  </si>
  <si>
    <t>The MCNP reaction rate is R = N σ  ϕ = (at/b/cm) (b/at) (1/cm2/src-n) = rxns/cm3/src-n</t>
  </si>
  <si>
    <t>Factor change</t>
  </si>
  <si>
    <t>D-shape</t>
  </si>
  <si>
    <t>N_biso_A</t>
  </si>
  <si>
    <t>MCNP raw  [b/at]*[1/cm2/src-n]</t>
  </si>
  <si>
    <t>This is so I don't have to bother normalizing by different U-containing volumes between A, B, and C</t>
  </si>
  <si>
    <t>A-Sab</t>
  </si>
  <si>
    <t>B-Sab</t>
  </si>
  <si>
    <t>C-Sab</t>
  </si>
  <si>
    <t>C-NoSab</t>
  </si>
  <si>
    <t>OpenMC</t>
  </si>
  <si>
    <t>Greta &amp; Emma</t>
  </si>
  <si>
    <t>Patrick</t>
  </si>
  <si>
    <t>RESULTS (Rate [rxns/n])</t>
  </si>
  <si>
    <t>MCNP</t>
  </si>
  <si>
    <t>=OMC-GE/D</t>
  </si>
  <si>
    <t>=OMC-P/D</t>
  </si>
  <si>
    <t>=MCNP-NoSab/D</t>
  </si>
  <si>
    <t>WEDGE B = Random packed BISO</t>
  </si>
  <si>
    <t>WEDGE A = Homogenized</t>
  </si>
  <si>
    <t>WEDGE C = Fixed lattice BISO</t>
  </si>
  <si>
    <t>Emma</t>
  </si>
  <si>
    <t xml:space="preserve"> 1.84484e-05 +/- 3.13867e-06</t>
  </si>
  <si>
    <t xml:space="preserve"> 9.71272e-05 +/- 8.74883e-06</t>
  </si>
  <si>
    <t>0.000270845 +/- 6.94483e-06</t>
  </si>
  <si>
    <t>Homog.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</si>
</sst>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2" fontId="0" fillId="4" borderId="0" xfId="0" applyNumberFormat="1" applyFill="1"/>
    <xf numFmtId="0" fontId="1" fillId="2" borderId="0" xfId="0" applyFont="1" applyFill="1"/>
    <xf numFmtId="0" fontId="0" fillId="5" borderId="0" xfId="0" applyFill="1"/>
    <xf numFmtId="164" fontId="0" fillId="4" borderId="0" xfId="0" applyNumberFormat="1" applyFill="1"/>
    <xf numFmtId="165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6" borderId="0" xfId="0" applyFill="1"/>
    <xf numFmtId="0" fontId="1" fillId="2" borderId="0" xfId="0" quotePrefix="1" applyFont="1" applyFill="1"/>
    <xf numFmtId="11" fontId="2" fillId="0" borderId="0" xfId="0" applyNumberFormat="1" applyFont="1"/>
    <xf numFmtId="11" fontId="2" fillId="4" borderId="0" xfId="0" applyNumberFormat="1" applyFont="1" applyFill="1"/>
    <xf numFmtId="0" fontId="0" fillId="2" borderId="0" xfId="0" applyFill="1"/>
    <xf numFmtId="0" fontId="1" fillId="3" borderId="0" xfId="0" applyFont="1" applyFill="1"/>
    <xf numFmtId="11" fontId="3" fillId="0" borderId="0" xfId="0" applyNumberFormat="1" applyFont="1"/>
    <xf numFmtId="11" fontId="3" fillId="7" borderId="0" xfId="0" applyNumberFormat="1" applyFont="1" applyFill="1"/>
    <xf numFmtId="11" fontId="4" fillId="0" borderId="0" xfId="0" applyNumberFormat="1" applyFont="1"/>
    <xf numFmtId="0" fontId="1" fillId="9" borderId="0" xfId="0" applyFont="1" applyFill="1"/>
    <xf numFmtId="0" fontId="0" fillId="9" borderId="0" xfId="0" applyFill="1"/>
    <xf numFmtId="11" fontId="4" fillId="8" borderId="0" xfId="0" applyNumberFormat="1" applyFont="1" applyFill="1"/>
    <xf numFmtId="11" fontId="4" fillId="10" borderId="0" xfId="0" applyNumberFormat="1" applyFont="1" applyFill="1"/>
    <xf numFmtId="11" fontId="1" fillId="0" borderId="0" xfId="0" applyNumberFormat="1" applyFont="1"/>
    <xf numFmtId="11" fontId="1" fillId="4" borderId="0" xfId="0" applyNumberFormat="1" applyFont="1" applyFill="1"/>
    <xf numFmtId="11" fontId="5" fillId="0" borderId="0" xfId="0" applyNumberFormat="1" applyFont="1"/>
    <xf numFmtId="11" fontId="5" fillId="4" borderId="0" xfId="0" applyNumberFormat="1" applyFont="1" applyFill="1"/>
    <xf numFmtId="11" fontId="3" fillId="10" borderId="0" xfId="0" applyNumberFormat="1" applyFont="1" applyFill="1"/>
    <xf numFmtId="166" fontId="0" fillId="0" borderId="0" xfId="0" applyNumberFormat="1"/>
    <xf numFmtId="16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'Fissile production'!$A$44:$A$56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'Fissile production'!$M$44:$M$56</c:f>
              <c:numCache>
                <c:formatCode>0.000000</c:formatCode>
                <c:ptCount val="13"/>
                <c:pt idx="0">
                  <c:v>0.60664708230623576</c:v>
                </c:pt>
                <c:pt idx="1">
                  <c:v>0.60988163769499404</c:v>
                </c:pt>
                <c:pt idx="2">
                  <c:v>0.61029455715651293</c:v>
                </c:pt>
                <c:pt idx="3">
                  <c:v>0.63861511357334044</c:v>
                </c:pt>
                <c:pt idx="4">
                  <c:v>0.66538860290064994</c:v>
                </c:pt>
                <c:pt idx="5">
                  <c:v>0.69437286193317926</c:v>
                </c:pt>
                <c:pt idx="6">
                  <c:v>0.7303487224871601</c:v>
                </c:pt>
                <c:pt idx="7">
                  <c:v>0.75449039033495524</c:v>
                </c:pt>
                <c:pt idx="8">
                  <c:v>0.76638425008785249</c:v>
                </c:pt>
                <c:pt idx="9">
                  <c:v>0.82137283592286769</c:v>
                </c:pt>
                <c:pt idx="10">
                  <c:v>0.86290194261690956</c:v>
                </c:pt>
                <c:pt idx="11">
                  <c:v>0.87364962839429117</c:v>
                </c:pt>
                <c:pt idx="12">
                  <c:v>0.87549435816244625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E-49DE-9DD1-B3DB0645F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920591"/>
        <c:axId val="1498923951"/>
      </c:scatterChart>
      <c:valAx>
        <c:axId val="149892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23951"/>
        <c:crosses val="autoZero"/>
        <c:crossBetween val="midCat"/>
      </c:valAx>
      <c:valAx>
        <c:axId val="149892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2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'Fissile production'!$A$44:$A$56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1.5</c:v>
                </c:pt>
                <c:pt idx="3">
                  <c:v>15</c:v>
                </c:pt>
                <c:pt idx="4">
                  <c:v>30</c:v>
                </c:pt>
                <c:pt idx="5">
                  <c:v>60</c:v>
                </c:pt>
                <c:pt idx="6">
                  <c:v>90</c:v>
                </c:pt>
                <c:pt idx="7">
                  <c:v>120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1000</c:v>
                </c:pt>
              </c:numCache>
            </c:numRef>
          </c:xVal>
          <c:yVal>
            <c:numRef>
              <c:f>'Fissile production'!$M$44:$M$56</c:f>
              <c:numCache>
                <c:formatCode>0.000000</c:formatCode>
                <c:ptCount val="13"/>
                <c:pt idx="0">
                  <c:v>0.60664708230623576</c:v>
                </c:pt>
                <c:pt idx="1">
                  <c:v>0.60988163769499404</c:v>
                </c:pt>
                <c:pt idx="2">
                  <c:v>0.61029455715651293</c:v>
                </c:pt>
                <c:pt idx="3">
                  <c:v>0.63861511357334044</c:v>
                </c:pt>
                <c:pt idx="4">
                  <c:v>0.66538860290064994</c:v>
                </c:pt>
                <c:pt idx="5">
                  <c:v>0.69437286193317926</c:v>
                </c:pt>
                <c:pt idx="6">
                  <c:v>0.7303487224871601</c:v>
                </c:pt>
                <c:pt idx="7">
                  <c:v>0.75449039033495524</c:v>
                </c:pt>
                <c:pt idx="8">
                  <c:v>0.76638425008785249</c:v>
                </c:pt>
                <c:pt idx="9">
                  <c:v>0.82137283592286769</c:v>
                </c:pt>
                <c:pt idx="10">
                  <c:v>0.86290194261690956</c:v>
                </c:pt>
                <c:pt idx="11">
                  <c:v>0.87364962839429117</c:v>
                </c:pt>
                <c:pt idx="12">
                  <c:v>0.87549435816244625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3-40E8-AD50-FE3912B7C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952271"/>
        <c:axId val="1498953231"/>
      </c:scatterChart>
      <c:valAx>
        <c:axId val="149895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53231"/>
        <c:crosses val="autoZero"/>
        <c:crossBetween val="midCat"/>
      </c:valAx>
      <c:valAx>
        <c:axId val="149895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5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38099</xdr:colOff>
      <xdr:row>17</xdr:row>
      <xdr:rowOff>32239</xdr:rowOff>
    </xdr:from>
    <xdr:to>
      <xdr:col>18</xdr:col>
      <xdr:colOff>583222</xdr:colOff>
      <xdr:row>32</xdr:row>
      <xdr:rowOff>49824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7C90D-F29C-13B2-468B-284E4DCF6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556846</xdr:colOff>
      <xdr:row>31</xdr:row>
      <xdr:rowOff>108439</xdr:rowOff>
    </xdr:from>
    <xdr:to>
      <xdr:col>12</xdr:col>
      <xdr:colOff>298938</xdr:colOff>
      <xdr:row>46</xdr:row>
      <xdr:rowOff>126023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1B3BC8-B126-B54C-7C9F-C870CF83F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C2A7-2007-48F8-8A3D-08B47124466B}">
  <dimension ref="A1:W56"/>
  <sheetViews>
    <sheetView zoomScale="130" zoomScaleNormal="130" workbookViewId="0">
      <selection activeCell="J10" sqref="J10:J22"/>
    </sheetView>
  </sheetViews>
  <sheetFormatPr defaultRowHeight="14.4" x14ac:dyDescent="0.3"/>
  <cols>
    <col min="1" max="1" width="12.33203125" customWidth="1"/>
    <col min="2" max="3" width="8.88671875" customWidth="1"/>
    <col min="4" max="4" width="1.88671875" customWidth="1"/>
    <col min="5" max="6" width="8" customWidth="1"/>
    <col min="7" max="7" width="2.109375" customWidth="1"/>
    <col min="8" max="8" width="12.21875" customWidth="1"/>
    <col min="9" max="9" width="14.21875" customWidth="1"/>
    <col min="10" max="10" width="15.88671875" customWidth="1"/>
    <col min="11" max="11" width="15.33203125" customWidth="1"/>
    <col min="12" max="13" width="12.77734375" customWidth="1"/>
    <col min="14" max="14" width="16.44140625" customWidth="1"/>
    <col min="15" max="15" width="2.77734375" customWidth="1"/>
  </cols>
  <sheetData>
    <row r="1" spans="1:23" x14ac:dyDescent="0.3">
      <c r="A1" t="s">
        <v>20</v>
      </c>
      <c r="P1" s="1" t="s">
        <v>16</v>
      </c>
      <c r="Q1" s="1"/>
    </row>
    <row r="2" spans="1:23" x14ac:dyDescent="0.3">
      <c r="A2" t="s">
        <v>17</v>
      </c>
      <c r="P2" s="1" t="s">
        <v>7</v>
      </c>
      <c r="Q2" s="1" t="s">
        <v>6</v>
      </c>
      <c r="S2" s="1" t="s">
        <v>7</v>
      </c>
      <c r="T2" s="1" t="s">
        <v>6</v>
      </c>
      <c r="V2" s="1" t="s">
        <v>7</v>
      </c>
      <c r="W2" s="1" t="s">
        <v>6</v>
      </c>
    </row>
    <row r="3" spans="1:23" x14ac:dyDescent="0.3">
      <c r="A3" t="s">
        <v>18</v>
      </c>
      <c r="P3" t="s">
        <v>9</v>
      </c>
      <c r="Q3">
        <f>4/3*PI()*(0.04)^3</f>
        <v>2.6808257310632905E-4</v>
      </c>
      <c r="S3" t="s">
        <v>23</v>
      </c>
      <c r="T3">
        <v>2012</v>
      </c>
      <c r="V3" t="s">
        <v>13</v>
      </c>
      <c r="W3" s="2">
        <v>6.23E+18</v>
      </c>
    </row>
    <row r="4" spans="1:23" x14ac:dyDescent="0.3">
      <c r="A4" t="s">
        <v>19</v>
      </c>
      <c r="P4" t="s">
        <v>8</v>
      </c>
      <c r="Q4">
        <f>4/3*PI()*(0.05)^3</f>
        <v>5.2359877559829892E-4</v>
      </c>
      <c r="S4" t="s">
        <v>11</v>
      </c>
      <c r="T4">
        <v>1</v>
      </c>
    </row>
    <row r="5" spans="1:23" x14ac:dyDescent="0.3">
      <c r="A5" t="s">
        <v>25</v>
      </c>
      <c r="P5" t="s">
        <v>10</v>
      </c>
      <c r="Q5">
        <f>(238.02+32)/238.05 / Q3 / 10.5 / 100^3 * 1000</f>
        <v>0.40296735505064929</v>
      </c>
      <c r="S5" t="s">
        <v>12</v>
      </c>
      <c r="T5">
        <v>1</v>
      </c>
    </row>
    <row r="7" spans="1:23" x14ac:dyDescent="0.3">
      <c r="H7" s="1" t="s">
        <v>33</v>
      </c>
      <c r="I7" s="1"/>
      <c r="P7" s="1" t="s">
        <v>5</v>
      </c>
      <c r="Q7" s="1"/>
    </row>
    <row r="8" spans="1:23" x14ac:dyDescent="0.3">
      <c r="A8" s="23" t="s">
        <v>39</v>
      </c>
      <c r="B8" s="24"/>
      <c r="C8" s="24"/>
      <c r="H8" s="3"/>
      <c r="I8" s="19" t="s">
        <v>30</v>
      </c>
      <c r="J8" s="19" t="s">
        <v>30</v>
      </c>
      <c r="K8" s="19" t="s">
        <v>34</v>
      </c>
      <c r="L8" s="14" t="s">
        <v>21</v>
      </c>
      <c r="M8" s="14"/>
      <c r="N8" s="14"/>
      <c r="P8" s="8" t="s">
        <v>24</v>
      </c>
      <c r="Q8" s="8"/>
      <c r="R8" s="8"/>
      <c r="S8" s="8"/>
      <c r="T8" s="8"/>
    </row>
    <row r="9" spans="1:23" s="7" customFormat="1" x14ac:dyDescent="0.3">
      <c r="A9" s="7" t="s">
        <v>1</v>
      </c>
      <c r="B9" s="7" t="s">
        <v>2</v>
      </c>
      <c r="C9" s="7" t="s">
        <v>0</v>
      </c>
      <c r="E9" s="7" t="s">
        <v>14</v>
      </c>
      <c r="F9" s="7" t="s">
        <v>15</v>
      </c>
      <c r="H9" s="7" t="s">
        <v>22</v>
      </c>
      <c r="I9" s="7" t="s">
        <v>31</v>
      </c>
      <c r="J9" s="7" t="s">
        <v>32</v>
      </c>
      <c r="L9" s="15" t="s">
        <v>35</v>
      </c>
      <c r="M9" s="15" t="s">
        <v>36</v>
      </c>
      <c r="N9" s="15" t="s">
        <v>37</v>
      </c>
      <c r="P9" s="7" t="s">
        <v>3</v>
      </c>
      <c r="Q9" s="7" t="s">
        <v>26</v>
      </c>
    </row>
    <row r="10" spans="1:23" x14ac:dyDescent="0.3">
      <c r="A10">
        <v>0.1</v>
      </c>
      <c r="B10" s="11">
        <f t="shared" ref="B10:B22" si="0">A10*$Q$5</f>
        <v>4.0296735505064935E-2</v>
      </c>
      <c r="C10" s="12">
        <v>2.1099999999999999E-3</v>
      </c>
      <c r="D10" s="4"/>
      <c r="E10" s="13">
        <v>23.784832000000002</v>
      </c>
      <c r="F10" s="13">
        <v>29.746282999999998</v>
      </c>
      <c r="G10" s="5"/>
      <c r="H10" s="27">
        <v>3.52725672373683E-5</v>
      </c>
      <c r="I10" s="22">
        <v>3.4271699999999999E-5</v>
      </c>
      <c r="J10" s="2">
        <v>3.4428100000000003E-5</v>
      </c>
      <c r="K10" s="2">
        <f>P10*$T$3*$W$3*1E-24</f>
        <v>3.4288459937199994E-5</v>
      </c>
      <c r="L10" s="11">
        <f t="shared" ref="L10:L22" si="1">I10/H10</f>
        <v>0.97162476916882967</v>
      </c>
      <c r="M10" s="11">
        <f t="shared" ref="M10:M22" si="2">J10/H10</f>
        <v>0.97605880990500582</v>
      </c>
      <c r="N10" s="11">
        <f t="shared" ref="N10:N22" si="3">K10/H10</f>
        <v>0.97209992418341107</v>
      </c>
      <c r="O10" s="4"/>
      <c r="P10" s="2">
        <v>2.7354699999999998E-3</v>
      </c>
      <c r="Q10" s="2"/>
      <c r="R10" s="2"/>
      <c r="S10" s="2"/>
    </row>
    <row r="11" spans="1:23" s="4" customFormat="1" x14ac:dyDescent="0.3">
      <c r="A11" s="4">
        <v>0.5</v>
      </c>
      <c r="B11" s="9">
        <f t="shared" si="0"/>
        <v>0.20148367752532464</v>
      </c>
      <c r="C11" s="10">
        <v>1.055E-2</v>
      </c>
      <c r="E11" s="6">
        <v>10.636900000000001</v>
      </c>
      <c r="F11" s="6">
        <v>13.302942</v>
      </c>
      <c r="G11" s="5"/>
      <c r="H11" s="28">
        <v>1.76088265923015E-4</v>
      </c>
      <c r="I11" s="26">
        <v>1.7047000000000001E-4</v>
      </c>
      <c r="J11" s="5">
        <v>1.7116899999999999E-4</v>
      </c>
      <c r="K11" s="5">
        <f t="shared" ref="K11:K22" si="4">P11*$T$3*$W$3*1E-24</f>
        <v>1.7111952961599997E-4</v>
      </c>
      <c r="L11" s="9">
        <f t="shared" si="1"/>
        <v>0.96809403571802299</v>
      </c>
      <c r="M11" s="9">
        <f t="shared" si="2"/>
        <v>0.97206363582928523</v>
      </c>
      <c r="N11" s="9">
        <f t="shared" si="3"/>
        <v>0.9717826949969095</v>
      </c>
      <c r="P11" s="5">
        <v>1.36516E-2</v>
      </c>
      <c r="Q11" s="5"/>
      <c r="R11" s="5"/>
      <c r="S11" s="5"/>
    </row>
    <row r="12" spans="1:23" x14ac:dyDescent="0.3">
      <c r="A12">
        <v>1.5</v>
      </c>
      <c r="B12" s="11">
        <f t="shared" si="0"/>
        <v>0.60445103257597399</v>
      </c>
      <c r="C12" s="12">
        <v>3.1649999999999998E-2</v>
      </c>
      <c r="D12" s="4"/>
      <c r="E12" s="13">
        <v>6.1412170000000001</v>
      </c>
      <c r="F12" s="13">
        <v>7.6804569999999996</v>
      </c>
      <c r="G12" s="5"/>
      <c r="H12" s="27">
        <v>5.2684723504348998E-4</v>
      </c>
      <c r="I12" s="22">
        <v>5.1337799999999999E-4</v>
      </c>
      <c r="J12" s="2">
        <v>5.1237400000000001E-4</v>
      </c>
      <c r="K12" s="2">
        <f t="shared" si="4"/>
        <v>5.1184438984000003E-4</v>
      </c>
      <c r="L12" s="11">
        <f t="shared" si="1"/>
        <v>0.97443426832755775</v>
      </c>
      <c r="M12" s="11">
        <f t="shared" si="2"/>
        <v>0.97252859257713431</v>
      </c>
      <c r="N12" s="11">
        <f t="shared" si="3"/>
        <v>0.97152334831509268</v>
      </c>
      <c r="O12" s="4"/>
      <c r="P12" s="2">
        <v>4.0834000000000002E-2</v>
      </c>
      <c r="Q12" s="2"/>
      <c r="R12" s="2"/>
      <c r="S12" s="2"/>
    </row>
    <row r="13" spans="1:23" s="4" customFormat="1" x14ac:dyDescent="0.3">
      <c r="A13" s="4">
        <v>15</v>
      </c>
      <c r="B13" s="9">
        <f t="shared" si="0"/>
        <v>6.044510325759739</v>
      </c>
      <c r="C13" s="10">
        <v>0.31649699999999997</v>
      </c>
      <c r="E13" s="6">
        <v>1.9420230000000001</v>
      </c>
      <c r="F13" s="6">
        <v>2.4287740000000002</v>
      </c>
      <c r="G13" s="5"/>
      <c r="H13" s="28">
        <v>5.02535867346246E-3</v>
      </c>
      <c r="I13" s="26">
        <v>4.8983400000000002E-3</v>
      </c>
      <c r="J13" s="5">
        <v>4.8734900000000003E-3</v>
      </c>
      <c r="K13" s="5">
        <f t="shared" si="4"/>
        <v>4.88413162972E-3</v>
      </c>
      <c r="L13" s="9">
        <f t="shared" si="1"/>
        <v>0.97472445616007264</v>
      </c>
      <c r="M13" s="9">
        <f t="shared" si="2"/>
        <v>0.96977953548580786</v>
      </c>
      <c r="N13" s="9">
        <f t="shared" si="3"/>
        <v>0.97189712159487418</v>
      </c>
      <c r="P13" s="5">
        <v>0.38964700000000002</v>
      </c>
      <c r="Q13" s="5"/>
      <c r="R13" s="5"/>
      <c r="S13" s="5"/>
    </row>
    <row r="14" spans="1:23" x14ac:dyDescent="0.3">
      <c r="A14">
        <v>30</v>
      </c>
      <c r="B14" s="11">
        <f t="shared" si="0"/>
        <v>12.089020651519478</v>
      </c>
      <c r="C14" s="12">
        <v>0.63299399999999995</v>
      </c>
      <c r="D14" s="4"/>
      <c r="E14" s="13">
        <v>1.373218</v>
      </c>
      <c r="F14" s="13">
        <v>1.7174020000000001</v>
      </c>
      <c r="G14" s="5"/>
      <c r="H14" s="27">
        <v>9.6096776712520909E-3</v>
      </c>
      <c r="I14" s="22">
        <v>9.3411799999999993E-3</v>
      </c>
      <c r="J14" s="2">
        <v>9.3206399999999998E-3</v>
      </c>
      <c r="K14" s="2">
        <f t="shared" si="4"/>
        <v>9.338383665239999E-3</v>
      </c>
      <c r="L14" s="11">
        <f t="shared" si="1"/>
        <v>0.97205965897739544</v>
      </c>
      <c r="M14" s="11">
        <f t="shared" si="2"/>
        <v>0.9699222303660856</v>
      </c>
      <c r="N14" s="11">
        <f t="shared" si="3"/>
        <v>0.97176866745242829</v>
      </c>
      <c r="O14" s="4"/>
      <c r="P14" s="2">
        <v>0.74499899999999997</v>
      </c>
      <c r="Q14" s="2"/>
      <c r="R14" s="2"/>
      <c r="S14" s="2"/>
    </row>
    <row r="15" spans="1:23" s="4" customFormat="1" x14ac:dyDescent="0.3">
      <c r="A15" s="4">
        <v>60</v>
      </c>
      <c r="B15" s="9">
        <f t="shared" si="0"/>
        <v>24.178041303038956</v>
      </c>
      <c r="C15" s="10">
        <v>1.265987</v>
      </c>
      <c r="E15" s="6">
        <v>0.97101199999999999</v>
      </c>
      <c r="F15" s="6">
        <v>1.2143870000000001</v>
      </c>
      <c r="G15" s="5"/>
      <c r="H15" s="28">
        <v>1.7956202904139199E-2</v>
      </c>
      <c r="I15" s="26">
        <v>1.7297199999999999E-2</v>
      </c>
      <c r="J15" s="5">
        <v>1.75224E-2</v>
      </c>
      <c r="K15" s="5">
        <f t="shared" si="4"/>
        <v>1.7408149340399998E-2</v>
      </c>
      <c r="L15" s="9">
        <f t="shared" si="1"/>
        <v>0.96329942874574614</v>
      </c>
      <c r="M15" s="9">
        <f t="shared" si="2"/>
        <v>0.97584105579252511</v>
      </c>
      <c r="N15" s="9">
        <f t="shared" si="3"/>
        <v>0.96947831528385853</v>
      </c>
      <c r="P15" s="5">
        <v>1.38879</v>
      </c>
      <c r="Q15" s="5"/>
      <c r="R15" s="5"/>
      <c r="S15" s="5"/>
    </row>
    <row r="16" spans="1:23" x14ac:dyDescent="0.3">
      <c r="A16">
        <v>90</v>
      </c>
      <c r="B16" s="11">
        <f t="shared" si="0"/>
        <v>36.267061954558436</v>
      </c>
      <c r="C16" s="12">
        <v>1.898981</v>
      </c>
      <c r="D16" s="4"/>
      <c r="E16" s="13">
        <v>0.79282799999999998</v>
      </c>
      <c r="F16" s="13">
        <v>0.99154299999999995</v>
      </c>
      <c r="G16" s="5"/>
      <c r="H16" s="27">
        <v>2.54716677488637E-2</v>
      </c>
      <c r="I16" s="22">
        <v>2.4680299999999999E-2</v>
      </c>
      <c r="J16" s="2">
        <v>2.4773900000000001E-2</v>
      </c>
      <c r="K16" s="2">
        <f t="shared" si="4"/>
        <v>2.4696861585199997E-2</v>
      </c>
      <c r="L16" s="11">
        <f t="shared" si="1"/>
        <v>0.96893145134169689</v>
      </c>
      <c r="M16" s="11">
        <f t="shared" si="2"/>
        <v>0.97260612238887156</v>
      </c>
      <c r="N16" s="11">
        <f t="shared" si="3"/>
        <v>0.9695816476838951</v>
      </c>
      <c r="O16" s="4"/>
      <c r="P16" s="2">
        <v>1.97027</v>
      </c>
      <c r="Q16" s="2"/>
      <c r="R16" s="2"/>
      <c r="S16" s="2"/>
    </row>
    <row r="17" spans="1:19" s="4" customFormat="1" x14ac:dyDescent="0.3">
      <c r="A17" s="4">
        <v>120</v>
      </c>
      <c r="B17" s="9">
        <f t="shared" si="0"/>
        <v>48.356082606077912</v>
      </c>
      <c r="C17" s="10">
        <v>2.5319750000000001</v>
      </c>
      <c r="E17" s="6">
        <v>0.68660900000000002</v>
      </c>
      <c r="F17" s="6">
        <v>0.85870100000000005</v>
      </c>
      <c r="G17" s="5"/>
      <c r="H17" s="28">
        <v>3.2417642839879697E-2</v>
      </c>
      <c r="I17" s="26">
        <v>3.15217E-2</v>
      </c>
      <c r="J17" s="5">
        <v>3.1542500000000001E-2</v>
      </c>
      <c r="K17" s="5">
        <f t="shared" si="4"/>
        <v>3.1496843537600003E-2</v>
      </c>
      <c r="L17" s="9">
        <f t="shared" si="1"/>
        <v>0.97236249272332897</v>
      </c>
      <c r="M17" s="9">
        <f t="shared" si="2"/>
        <v>0.97300411864606307</v>
      </c>
      <c r="N17" s="9">
        <f t="shared" si="3"/>
        <v>0.9715957354818241</v>
      </c>
      <c r="P17" s="5">
        <v>2.5127600000000001</v>
      </c>
      <c r="Q17" s="5"/>
      <c r="R17" s="5"/>
      <c r="S17" s="5"/>
    </row>
    <row r="18" spans="1:19" x14ac:dyDescent="0.3">
      <c r="A18">
        <v>150</v>
      </c>
      <c r="B18" s="11">
        <f t="shared" si="0"/>
        <v>60.445103257597395</v>
      </c>
      <c r="C18" s="12">
        <v>3.1649690000000001</v>
      </c>
      <c r="D18" s="4"/>
      <c r="E18" s="13">
        <v>0.61412199999999995</v>
      </c>
      <c r="F18" s="13">
        <v>0.76804600000000001</v>
      </c>
      <c r="G18" s="5"/>
      <c r="H18" s="27">
        <v>3.9055212834252402E-2</v>
      </c>
      <c r="I18" s="22">
        <v>3.80746E-2</v>
      </c>
      <c r="J18" s="2">
        <v>3.8125399999999997E-2</v>
      </c>
      <c r="K18" s="2">
        <f t="shared" si="4"/>
        <v>3.7975434243599997E-2</v>
      </c>
      <c r="L18" s="11">
        <f t="shared" si="1"/>
        <v>0.97489162744000257</v>
      </c>
      <c r="M18" s="11">
        <f t="shared" si="2"/>
        <v>0.97619235009169025</v>
      </c>
      <c r="N18" s="11">
        <f t="shared" si="3"/>
        <v>0.97235251040021442</v>
      </c>
      <c r="O18" s="4"/>
      <c r="P18" s="2">
        <v>3.0296099999999999</v>
      </c>
      <c r="Q18" s="2"/>
      <c r="R18" s="2"/>
      <c r="S18" s="2"/>
    </row>
    <row r="19" spans="1:19" s="4" customFormat="1" x14ac:dyDescent="0.3">
      <c r="A19" s="4">
        <v>250</v>
      </c>
      <c r="B19" s="9">
        <f t="shared" si="0"/>
        <v>100.74183876266233</v>
      </c>
      <c r="C19" s="10">
        <v>5.2749480000000002</v>
      </c>
      <c r="E19" s="6">
        <v>0.47569699999999998</v>
      </c>
      <c r="F19" s="6">
        <v>0.59492599999999995</v>
      </c>
      <c r="G19" s="5"/>
      <c r="H19" s="28">
        <v>5.8983323870902299E-2</v>
      </c>
      <c r="I19" s="26">
        <v>5.7466000000000003E-2</v>
      </c>
      <c r="J19" s="5">
        <v>5.76763E-2</v>
      </c>
      <c r="K19" s="5">
        <f t="shared" si="4"/>
        <v>5.7744756325199986E-2</v>
      </c>
      <c r="L19" s="9">
        <f t="shared" si="1"/>
        <v>0.9742753752870339</v>
      </c>
      <c r="M19" s="9">
        <f t="shared" si="2"/>
        <v>0.97784078981776268</v>
      </c>
      <c r="N19" s="9">
        <f t="shared" si="3"/>
        <v>0.97900139455665158</v>
      </c>
      <c r="P19" s="5">
        <v>4.60677</v>
      </c>
      <c r="Q19" s="5"/>
      <c r="R19" s="5"/>
      <c r="S19" s="5"/>
    </row>
    <row r="20" spans="1:19" x14ac:dyDescent="0.3">
      <c r="A20">
        <v>500</v>
      </c>
      <c r="B20" s="11">
        <f t="shared" si="0"/>
        <v>201.48367752532465</v>
      </c>
      <c r="C20" s="12">
        <v>10.549896</v>
      </c>
      <c r="D20" s="4"/>
      <c r="E20" s="13">
        <v>0.336368</v>
      </c>
      <c r="F20" s="13">
        <v>0.42067599999999999</v>
      </c>
      <c r="G20" s="5"/>
      <c r="H20" s="27">
        <v>0.103595084893309</v>
      </c>
      <c r="I20" s="22">
        <v>0.10137699999999999</v>
      </c>
      <c r="J20" s="2">
        <v>0.101622</v>
      </c>
      <c r="K20" s="2">
        <f t="shared" si="4"/>
        <v>0.10128474657560001</v>
      </c>
      <c r="L20" s="11">
        <f t="shared" si="1"/>
        <v>0.97858889834789575</v>
      </c>
      <c r="M20" s="11">
        <f t="shared" si="2"/>
        <v>0.98095387541463919</v>
      </c>
      <c r="N20" s="11">
        <f t="shared" si="3"/>
        <v>0.97769837902938761</v>
      </c>
      <c r="O20" s="4"/>
      <c r="P20" s="2">
        <v>8.0803100000000008</v>
      </c>
      <c r="Q20" s="2"/>
      <c r="R20" s="2"/>
      <c r="S20" s="2"/>
    </row>
    <row r="21" spans="1:19" s="4" customFormat="1" x14ac:dyDescent="0.3">
      <c r="A21" s="4">
        <v>750</v>
      </c>
      <c r="B21" s="9">
        <f t="shared" si="0"/>
        <v>302.22551628798698</v>
      </c>
      <c r="C21" s="10">
        <v>15.824844000000001</v>
      </c>
      <c r="E21" s="6">
        <v>0.274644</v>
      </c>
      <c r="F21" s="6">
        <v>0.34348000000000001</v>
      </c>
      <c r="G21" s="5"/>
      <c r="H21" s="28">
        <v>0.14519436153500101</v>
      </c>
      <c r="I21" s="26">
        <v>0.14219300000000001</v>
      </c>
      <c r="J21" s="5">
        <v>0.142043</v>
      </c>
      <c r="K21" s="5">
        <f t="shared" si="4"/>
        <v>0.14184209068399997</v>
      </c>
      <c r="L21" s="9">
        <f t="shared" si="1"/>
        <v>0.97932866329470047</v>
      </c>
      <c r="M21" s="9">
        <f t="shared" si="2"/>
        <v>0.97829556532578343</v>
      </c>
      <c r="N21" s="9">
        <f t="shared" si="3"/>
        <v>0.9769118386171427</v>
      </c>
      <c r="P21" s="5">
        <v>11.315899999999999</v>
      </c>
      <c r="Q21" s="5"/>
      <c r="R21" s="5"/>
      <c r="S21" s="5"/>
    </row>
    <row r="22" spans="1:19" x14ac:dyDescent="0.3">
      <c r="A22">
        <v>1000</v>
      </c>
      <c r="B22" s="11">
        <f t="shared" si="0"/>
        <v>402.9673550506493</v>
      </c>
      <c r="C22" s="12">
        <v>21.09958</v>
      </c>
      <c r="D22" s="4"/>
      <c r="E22" s="13">
        <v>0.23785000000000001</v>
      </c>
      <c r="F22" s="13">
        <v>0.29746400000000001</v>
      </c>
      <c r="G22" s="5"/>
      <c r="H22" s="27">
        <v>0.185920101577397</v>
      </c>
      <c r="I22" s="22">
        <v>0.18163399999999999</v>
      </c>
      <c r="J22" s="2">
        <v>0.181612</v>
      </c>
      <c r="K22" s="2">
        <f t="shared" si="4"/>
        <v>0.18159106812</v>
      </c>
      <c r="L22" s="11">
        <f t="shared" si="1"/>
        <v>0.97694654025555849</v>
      </c>
      <c r="M22" s="11">
        <f t="shared" si="2"/>
        <v>0.97682820985549224</v>
      </c>
      <c r="N22" s="11">
        <f t="shared" si="3"/>
        <v>0.97671562450392246</v>
      </c>
      <c r="O22" s="4"/>
      <c r="P22" s="2">
        <v>14.487</v>
      </c>
      <c r="Q22" s="2"/>
      <c r="R22" s="2"/>
      <c r="S22" s="2"/>
    </row>
    <row r="23" spans="1:19" x14ac:dyDescent="0.3">
      <c r="B23" s="11"/>
      <c r="C23" s="11"/>
    </row>
    <row r="24" spans="1:19" x14ac:dyDescent="0.3">
      <c r="B24" s="11"/>
      <c r="C24" s="11"/>
      <c r="H24" s="1" t="s">
        <v>33</v>
      </c>
    </row>
    <row r="25" spans="1:19" x14ac:dyDescent="0.3">
      <c r="A25" s="23" t="s">
        <v>38</v>
      </c>
      <c r="B25" s="24"/>
      <c r="C25" s="24"/>
      <c r="H25" s="19" t="s">
        <v>45</v>
      </c>
      <c r="I25" s="19" t="s">
        <v>30</v>
      </c>
      <c r="J25" s="19" t="s">
        <v>30</v>
      </c>
      <c r="K25" s="19" t="s">
        <v>34</v>
      </c>
      <c r="L25" s="14" t="s">
        <v>21</v>
      </c>
      <c r="M25" s="14"/>
      <c r="N25" s="14"/>
      <c r="P25" s="8" t="s">
        <v>24</v>
      </c>
      <c r="Q25" s="8"/>
      <c r="R25" s="8"/>
    </row>
    <row r="26" spans="1:19" s="18" customFormat="1" x14ac:dyDescent="0.3">
      <c r="A26" s="7" t="s">
        <v>1</v>
      </c>
      <c r="B26" s="7" t="s">
        <v>2</v>
      </c>
      <c r="C26" s="7" t="s">
        <v>0</v>
      </c>
      <c r="D26" s="7"/>
      <c r="E26" s="7" t="s">
        <v>14</v>
      </c>
      <c r="F26" s="7" t="s">
        <v>15</v>
      </c>
      <c r="G26" s="7"/>
      <c r="H26" s="7" t="s">
        <v>22</v>
      </c>
      <c r="I26" s="7" t="s">
        <v>31</v>
      </c>
      <c r="J26" s="7" t="s">
        <v>32</v>
      </c>
      <c r="K26" s="7"/>
      <c r="L26" s="15" t="s">
        <v>35</v>
      </c>
      <c r="M26" s="15" t="s">
        <v>36</v>
      </c>
      <c r="N26" s="15" t="s">
        <v>37</v>
      </c>
      <c r="P26" s="7" t="s">
        <v>4</v>
      </c>
      <c r="Q26" s="7" t="s">
        <v>27</v>
      </c>
    </row>
    <row r="27" spans="1:19" x14ac:dyDescent="0.3">
      <c r="A27">
        <v>0.1</v>
      </c>
      <c r="B27" s="11">
        <f t="shared" ref="B27:B39" si="5">A27*$Q$5</f>
        <v>4.0296735505064935E-2</v>
      </c>
      <c r="C27" s="12">
        <v>2.1099999999999999E-3</v>
      </c>
      <c r="D27" s="4"/>
      <c r="E27" s="13">
        <v>23.784832000000002</v>
      </c>
      <c r="F27" s="13">
        <v>29.746282999999998</v>
      </c>
      <c r="G27" s="5"/>
      <c r="H27" s="27">
        <v>3.52725672373683E-5</v>
      </c>
      <c r="I27" s="22">
        <v>2.2214699999999999E-5</v>
      </c>
      <c r="J27" s="2">
        <v>2.25088E-5</v>
      </c>
      <c r="K27" s="2">
        <f>P27*$T$4*$W$3*1E-24</f>
        <v>2.0764465399999998E-5</v>
      </c>
      <c r="L27" s="11">
        <f t="shared" ref="L27:L39" si="6">I27/H27</f>
        <v>0.62980105333714986</v>
      </c>
      <c r="M27" s="11">
        <f t="shared" ref="M27:M39" si="7">J27/H27</f>
        <v>0.63813897776495931</v>
      </c>
      <c r="N27" s="11">
        <f t="shared" ref="N27:N39" si="8">K27/H27</f>
        <v>0.58868596834090958</v>
      </c>
      <c r="O27" s="4"/>
      <c r="P27" s="2">
        <v>3.3329800000000001</v>
      </c>
      <c r="Q27" s="2"/>
    </row>
    <row r="28" spans="1:19" s="4" customFormat="1" x14ac:dyDescent="0.3">
      <c r="A28" s="4">
        <v>0.5</v>
      </c>
      <c r="B28" s="9">
        <f t="shared" si="5"/>
        <v>0.20148367752532464</v>
      </c>
      <c r="C28" s="10">
        <v>1.055E-2</v>
      </c>
      <c r="E28" s="6">
        <v>10.636900000000001</v>
      </c>
      <c r="F28" s="6">
        <v>13.302942</v>
      </c>
      <c r="G28" s="5"/>
      <c r="H28" s="28">
        <v>1.76088265923015E-4</v>
      </c>
      <c r="I28" s="26">
        <v>1.06229E-4</v>
      </c>
      <c r="J28" s="5">
        <v>1.00448E-4</v>
      </c>
      <c r="K28" s="5">
        <f t="shared" ref="K28:K39" si="9">P28*$T$4*$W$3*1E-24</f>
        <v>1.1061240399999999E-4</v>
      </c>
      <c r="L28" s="9">
        <f t="shared" si="6"/>
        <v>0.60327131647967303</v>
      </c>
      <c r="M28" s="9">
        <f t="shared" si="7"/>
        <v>0.57044119023760176</v>
      </c>
      <c r="N28" s="9">
        <f t="shared" si="8"/>
        <v>0.62816453680314643</v>
      </c>
      <c r="P28" s="5">
        <v>17.754799999999999</v>
      </c>
      <c r="Q28" s="5"/>
    </row>
    <row r="29" spans="1:19" x14ac:dyDescent="0.3">
      <c r="A29">
        <v>1.5</v>
      </c>
      <c r="B29" s="11">
        <f t="shared" si="5"/>
        <v>0.60445103257597399</v>
      </c>
      <c r="C29" s="12">
        <v>3.1649999999999998E-2</v>
      </c>
      <c r="D29" s="4"/>
      <c r="E29" s="13">
        <v>6.1412170000000001</v>
      </c>
      <c r="F29" s="13">
        <v>7.6804569999999996</v>
      </c>
      <c r="G29" s="5"/>
      <c r="H29" s="27">
        <v>5.2684723504348998E-4</v>
      </c>
      <c r="I29" s="22">
        <v>3.3353199999999999E-4</v>
      </c>
      <c r="J29" s="2">
        <v>3.2863E-4</v>
      </c>
      <c r="K29" s="2">
        <f t="shared" si="9"/>
        <v>3.3546182599999996E-4</v>
      </c>
      <c r="L29" s="11">
        <f t="shared" si="6"/>
        <v>0.63307155815758953</v>
      </c>
      <c r="M29" s="11">
        <f t="shared" si="7"/>
        <v>0.62376715324864973</v>
      </c>
      <c r="N29" s="11">
        <f t="shared" si="8"/>
        <v>0.63673452888541471</v>
      </c>
      <c r="O29" s="4"/>
      <c r="P29" s="2">
        <v>53.846200000000003</v>
      </c>
      <c r="Q29" s="2"/>
    </row>
    <row r="30" spans="1:19" s="4" customFormat="1" x14ac:dyDescent="0.3">
      <c r="A30" s="4">
        <v>15</v>
      </c>
      <c r="B30" s="9">
        <f t="shared" si="5"/>
        <v>6.044510325759739</v>
      </c>
      <c r="C30" s="10">
        <v>0.31649699999999997</v>
      </c>
      <c r="E30" s="6">
        <v>1.9420230000000001</v>
      </c>
      <c r="F30" s="6">
        <v>2.4287740000000002</v>
      </c>
      <c r="G30" s="5"/>
      <c r="H30" s="28">
        <v>5.02535867346246E-3</v>
      </c>
      <c r="I30" s="26">
        <v>3.22792E-3</v>
      </c>
      <c r="J30" s="5">
        <v>3.1989399999999999E-3</v>
      </c>
      <c r="K30" s="5">
        <f t="shared" si="9"/>
        <v>3.1236285499999998E-3</v>
      </c>
      <c r="L30" s="9">
        <f t="shared" si="6"/>
        <v>0.64232629146368392</v>
      </c>
      <c r="M30" s="9">
        <f t="shared" si="7"/>
        <v>0.63655953890271044</v>
      </c>
      <c r="N30" s="9">
        <f t="shared" si="8"/>
        <v>0.62157325535688124</v>
      </c>
      <c r="P30" s="5">
        <v>501.38499999999999</v>
      </c>
      <c r="Q30" s="5"/>
    </row>
    <row r="31" spans="1:19" x14ac:dyDescent="0.3">
      <c r="A31">
        <v>30</v>
      </c>
      <c r="B31" s="11">
        <f t="shared" si="5"/>
        <v>12.089020651519478</v>
      </c>
      <c r="C31" s="12">
        <v>0.63299399999999995</v>
      </c>
      <c r="D31" s="4"/>
      <c r="E31" s="13">
        <v>1.373218</v>
      </c>
      <c r="F31" s="13">
        <v>1.7174020000000001</v>
      </c>
      <c r="G31" s="5"/>
      <c r="H31" s="27">
        <v>9.6096776712520909E-3</v>
      </c>
      <c r="I31" s="25">
        <v>6.4084199999999997E-3</v>
      </c>
      <c r="J31" s="2">
        <v>6.4294499999999997E-3</v>
      </c>
      <c r="K31" s="2">
        <f t="shared" si="9"/>
        <v>6.2577857999999995E-3</v>
      </c>
      <c r="L31" s="11">
        <f t="shared" si="6"/>
        <v>0.66687148302290722</v>
      </c>
      <c r="M31" s="11">
        <f t="shared" si="7"/>
        <v>0.66905990189807019</v>
      </c>
      <c r="N31" s="11">
        <f t="shared" si="8"/>
        <v>0.65119622260802035</v>
      </c>
      <c r="O31" s="4"/>
      <c r="P31" s="2">
        <v>1004.46</v>
      </c>
      <c r="Q31" s="2"/>
    </row>
    <row r="32" spans="1:19" s="4" customFormat="1" x14ac:dyDescent="0.3">
      <c r="A32" s="4">
        <v>60</v>
      </c>
      <c r="B32" s="9">
        <f t="shared" si="5"/>
        <v>24.178041303038956</v>
      </c>
      <c r="C32" s="10">
        <v>1.265987</v>
      </c>
      <c r="E32" s="6">
        <v>0.97101199999999999</v>
      </c>
      <c r="F32" s="6">
        <v>1.2143870000000001</v>
      </c>
      <c r="G32" s="5"/>
      <c r="H32" s="28">
        <v>1.7956202904139199E-2</v>
      </c>
      <c r="I32" s="26">
        <v>1.27028E-2</v>
      </c>
      <c r="J32" s="5">
        <v>1.26584E-2</v>
      </c>
      <c r="K32" s="5">
        <f t="shared" si="9"/>
        <v>1.2780408899999998E-2</v>
      </c>
      <c r="L32" s="9">
        <f t="shared" si="6"/>
        <v>0.70743241585178329</v>
      </c>
      <c r="M32" s="9">
        <f t="shared" si="7"/>
        <v>0.70495973272177892</v>
      </c>
      <c r="N32" s="9">
        <f t="shared" si="8"/>
        <v>0.71175453787358933</v>
      </c>
      <c r="P32" s="5">
        <v>2051.4299999999998</v>
      </c>
      <c r="Q32" s="5"/>
      <c r="S32" s="5"/>
    </row>
    <row r="33" spans="1:19" x14ac:dyDescent="0.3">
      <c r="A33">
        <v>90</v>
      </c>
      <c r="B33" s="11">
        <f t="shared" si="5"/>
        <v>36.267061954558436</v>
      </c>
      <c r="C33" s="12">
        <v>1.898981</v>
      </c>
      <c r="D33" s="4"/>
      <c r="E33" s="13">
        <v>0.79282799999999998</v>
      </c>
      <c r="F33" s="13">
        <v>0.99154299999999995</v>
      </c>
      <c r="G33" s="5"/>
      <c r="H33" s="27">
        <v>2.54716677488637E-2</v>
      </c>
      <c r="I33" s="22">
        <v>1.8848799999999999E-2</v>
      </c>
      <c r="J33" s="2">
        <v>1.8641399999999999E-2</v>
      </c>
      <c r="K33" s="2">
        <f t="shared" si="9"/>
        <v>1.83316504E-2</v>
      </c>
      <c r="L33" s="11">
        <f t="shared" si="6"/>
        <v>0.73999080805538731</v>
      </c>
      <c r="M33" s="11">
        <f t="shared" si="7"/>
        <v>0.73184842797863514</v>
      </c>
      <c r="N33" s="11">
        <f t="shared" si="8"/>
        <v>0.71968787363040965</v>
      </c>
      <c r="O33" s="4"/>
      <c r="P33" s="2">
        <v>2942.48</v>
      </c>
      <c r="Q33" s="2"/>
      <c r="R33" s="2"/>
      <c r="S33" s="2"/>
    </row>
    <row r="34" spans="1:19" s="4" customFormat="1" x14ac:dyDescent="0.3">
      <c r="A34" s="4">
        <v>120</v>
      </c>
      <c r="B34" s="9">
        <f t="shared" si="5"/>
        <v>48.356082606077912</v>
      </c>
      <c r="C34" s="10">
        <v>2.5319750000000001</v>
      </c>
      <c r="E34" s="6">
        <v>0.68660900000000002</v>
      </c>
      <c r="F34" s="6">
        <v>0.85870100000000005</v>
      </c>
      <c r="G34" s="5"/>
      <c r="H34" s="28">
        <v>3.2417642839879697E-2</v>
      </c>
      <c r="I34" s="26">
        <v>2.47298E-2</v>
      </c>
      <c r="J34" s="5">
        <v>2.4878500000000001E-2</v>
      </c>
      <c r="K34" s="5">
        <f t="shared" si="9"/>
        <v>2.4631987099999999E-2</v>
      </c>
      <c r="L34" s="9">
        <f t="shared" si="6"/>
        <v>0.76285003577057653</v>
      </c>
      <c r="M34" s="9">
        <f t="shared" si="7"/>
        <v>0.76743704417012226</v>
      </c>
      <c r="N34" s="9">
        <f t="shared" si="8"/>
        <v>0.75983276210625961</v>
      </c>
      <c r="P34" s="5">
        <v>3953.77</v>
      </c>
      <c r="Q34" s="5"/>
    </row>
    <row r="35" spans="1:19" x14ac:dyDescent="0.3">
      <c r="A35">
        <v>150</v>
      </c>
      <c r="B35" s="11">
        <f t="shared" si="5"/>
        <v>60.445103257597395</v>
      </c>
      <c r="C35" s="12">
        <v>3.1649690000000001</v>
      </c>
      <c r="D35" s="4"/>
      <c r="E35" s="13">
        <v>0.61412199999999995</v>
      </c>
      <c r="F35" s="13">
        <v>0.76804600000000001</v>
      </c>
      <c r="G35" s="5"/>
      <c r="H35" s="27">
        <v>3.9055212834252402E-2</v>
      </c>
      <c r="I35" s="25">
        <v>3.0672700000000001E-2</v>
      </c>
      <c r="J35" s="2">
        <v>2.95511E-2</v>
      </c>
      <c r="K35" s="2">
        <f t="shared" si="9"/>
        <v>3.0206154999999998E-2</v>
      </c>
      <c r="L35" s="11">
        <f t="shared" si="6"/>
        <v>0.78536763146504407</v>
      </c>
      <c r="M35" s="11">
        <f t="shared" si="7"/>
        <v>0.7566493140214805</v>
      </c>
      <c r="N35" s="11">
        <f t="shared" si="8"/>
        <v>0.77342185096245186</v>
      </c>
      <c r="O35" s="4"/>
      <c r="P35" s="2">
        <v>4848.5</v>
      </c>
      <c r="Q35" s="2"/>
    </row>
    <row r="36" spans="1:19" s="4" customFormat="1" x14ac:dyDescent="0.3">
      <c r="A36" s="4">
        <v>250</v>
      </c>
      <c r="B36" s="9">
        <f t="shared" si="5"/>
        <v>100.74183876266233</v>
      </c>
      <c r="C36" s="10">
        <v>5.2749480000000002</v>
      </c>
      <c r="E36" s="6">
        <v>0.47569699999999998</v>
      </c>
      <c r="F36" s="6">
        <v>0.59492599999999995</v>
      </c>
      <c r="G36" s="5"/>
      <c r="H36" s="28">
        <v>5.8983323870902299E-2</v>
      </c>
      <c r="I36" s="26">
        <v>4.9196200000000002E-2</v>
      </c>
      <c r="J36" s="5">
        <v>4.8565799999999999E-2</v>
      </c>
      <c r="K36" s="5">
        <f t="shared" si="9"/>
        <v>4.8230853299999994E-2</v>
      </c>
      <c r="L36" s="9">
        <f t="shared" si="6"/>
        <v>0.834069644967389</v>
      </c>
      <c r="M36" s="9">
        <f t="shared" si="7"/>
        <v>0.82338187834745813</v>
      </c>
      <c r="N36" s="9">
        <f t="shared" si="8"/>
        <v>0.81770321058141104</v>
      </c>
      <c r="P36" s="5">
        <v>7741.71</v>
      </c>
      <c r="Q36" s="5"/>
    </row>
    <row r="37" spans="1:19" x14ac:dyDescent="0.3">
      <c r="A37">
        <v>500</v>
      </c>
      <c r="B37" s="11">
        <f t="shared" si="5"/>
        <v>201.48367752532465</v>
      </c>
      <c r="C37" s="12">
        <v>10.549896</v>
      </c>
      <c r="D37" s="4"/>
      <c r="E37" s="13">
        <v>0.336368</v>
      </c>
      <c r="F37" s="13">
        <v>0.42067599999999999</v>
      </c>
      <c r="G37" s="5"/>
      <c r="H37" s="27">
        <v>0.103595084893309</v>
      </c>
      <c r="I37" s="25">
        <v>9.2448600000000006E-2</v>
      </c>
      <c r="J37" s="2">
        <v>8.9643600000000004E-2</v>
      </c>
      <c r="K37" s="2">
        <f t="shared" si="9"/>
        <v>8.8566302999999999E-2</v>
      </c>
      <c r="L37" s="11">
        <f t="shared" si="6"/>
        <v>0.89240334225519879</v>
      </c>
      <c r="M37" s="11">
        <f t="shared" si="7"/>
        <v>0.86532676808289299</v>
      </c>
      <c r="N37" s="11">
        <f t="shared" si="8"/>
        <v>0.85492765502545887</v>
      </c>
      <c r="O37" s="4"/>
      <c r="P37" s="2">
        <v>14216.1</v>
      </c>
      <c r="Q37" s="2"/>
    </row>
    <row r="38" spans="1:19" s="4" customFormat="1" x14ac:dyDescent="0.3">
      <c r="A38" s="4">
        <v>750</v>
      </c>
      <c r="B38" s="9">
        <f t="shared" si="5"/>
        <v>302.22551628798698</v>
      </c>
      <c r="C38" s="10">
        <v>15.824844000000001</v>
      </c>
      <c r="E38" s="6">
        <v>0.274644</v>
      </c>
      <c r="F38" s="6">
        <v>0.34348000000000001</v>
      </c>
      <c r="G38" s="5"/>
      <c r="H38" s="28">
        <v>0.14519436153500101</v>
      </c>
      <c r="I38" s="26">
        <v>0.133441</v>
      </c>
      <c r="J38" s="5">
        <v>0.124949</v>
      </c>
      <c r="K38" s="5">
        <f t="shared" si="9"/>
        <v>0.12434955399999999</v>
      </c>
      <c r="L38" s="9">
        <f t="shared" si="6"/>
        <v>0.91905084046829388</v>
      </c>
      <c r="M38" s="9">
        <f t="shared" si="7"/>
        <v>0.86056372078801013</v>
      </c>
      <c r="N38" s="9">
        <f t="shared" si="8"/>
        <v>0.85643514448750746</v>
      </c>
      <c r="P38" s="5">
        <v>19959.8</v>
      </c>
      <c r="Q38" s="5"/>
    </row>
    <row r="39" spans="1:19" x14ac:dyDescent="0.3">
      <c r="A39">
        <v>1000</v>
      </c>
      <c r="B39" s="11">
        <f t="shared" si="5"/>
        <v>402.9673550506493</v>
      </c>
      <c r="C39" s="12">
        <v>21.09958</v>
      </c>
      <c r="D39" s="4"/>
      <c r="E39" s="13">
        <v>0.23785000000000001</v>
      </c>
      <c r="F39" s="13">
        <v>0.29746400000000001</v>
      </c>
      <c r="G39" s="5"/>
      <c r="H39" s="27">
        <v>0.185920101577397</v>
      </c>
      <c r="I39" s="22">
        <v>0.17522299999999999</v>
      </c>
      <c r="J39" s="2">
        <v>0.1593</v>
      </c>
      <c r="K39" s="2">
        <f t="shared" si="9"/>
        <v>0.16219431200000001</v>
      </c>
      <c r="L39" s="11">
        <f t="shared" si="6"/>
        <v>0.94246398594536107</v>
      </c>
      <c r="M39" s="11">
        <f t="shared" si="7"/>
        <v>0.85681966957018219</v>
      </c>
      <c r="N39" s="11">
        <f t="shared" si="8"/>
        <v>0.87238717397365373</v>
      </c>
      <c r="O39" s="4"/>
      <c r="P39" s="2">
        <v>26034.400000000001</v>
      </c>
    </row>
    <row r="40" spans="1:19" x14ac:dyDescent="0.3">
      <c r="B40" s="11"/>
      <c r="C40" s="12"/>
      <c r="E40" s="13"/>
      <c r="F40" s="13"/>
      <c r="G40" s="2"/>
      <c r="H40" s="2"/>
      <c r="I40" s="22"/>
      <c r="J40" s="2"/>
      <c r="K40" s="2"/>
      <c r="L40" s="11"/>
      <c r="M40" s="11"/>
      <c r="N40" s="11"/>
      <c r="O40" s="4"/>
    </row>
    <row r="41" spans="1:19" x14ac:dyDescent="0.3">
      <c r="H41" s="1" t="s">
        <v>33</v>
      </c>
      <c r="P41" s="2"/>
      <c r="Q41" s="2"/>
    </row>
    <row r="42" spans="1:19" x14ac:dyDescent="0.3">
      <c r="A42" s="23" t="s">
        <v>40</v>
      </c>
      <c r="B42" s="24"/>
      <c r="C42" s="24"/>
      <c r="I42" s="19" t="s">
        <v>30</v>
      </c>
      <c r="J42" s="19" t="s">
        <v>30</v>
      </c>
      <c r="K42" s="19" t="s">
        <v>34</v>
      </c>
      <c r="L42" s="14" t="s">
        <v>21</v>
      </c>
      <c r="M42" s="14"/>
      <c r="N42" s="14"/>
      <c r="P42" s="8" t="s">
        <v>24</v>
      </c>
      <c r="Q42" s="8"/>
    </row>
    <row r="43" spans="1:19" x14ac:dyDescent="0.3">
      <c r="A43" s="7" t="s">
        <v>1</v>
      </c>
      <c r="B43" s="7" t="s">
        <v>2</v>
      </c>
      <c r="C43" s="7" t="s">
        <v>0</v>
      </c>
      <c r="D43" s="7"/>
      <c r="E43" s="7" t="s">
        <v>14</v>
      </c>
      <c r="F43" s="7" t="s">
        <v>15</v>
      </c>
      <c r="G43" s="7"/>
      <c r="H43" s="7" t="s">
        <v>22</v>
      </c>
      <c r="I43" s="7" t="s">
        <v>41</v>
      </c>
      <c r="J43" s="7" t="s">
        <v>32</v>
      </c>
      <c r="K43" s="7"/>
      <c r="L43" s="15" t="s">
        <v>35</v>
      </c>
      <c r="M43" s="15" t="s">
        <v>36</v>
      </c>
      <c r="N43" s="15" t="s">
        <v>37</v>
      </c>
      <c r="O43" s="18"/>
      <c r="P43" s="7" t="s">
        <v>29</v>
      </c>
      <c r="Q43" s="7" t="s">
        <v>28</v>
      </c>
    </row>
    <row r="44" spans="1:19" x14ac:dyDescent="0.3">
      <c r="A44">
        <v>0.1</v>
      </c>
      <c r="B44" s="11">
        <f t="shared" ref="B44:B56" si="10">A44*$Q$5</f>
        <v>4.0296735505064935E-2</v>
      </c>
      <c r="C44" s="12">
        <v>2.1099999999999999E-3</v>
      </c>
      <c r="D44" s="4"/>
      <c r="E44" s="13">
        <v>23.784832000000002</v>
      </c>
      <c r="F44" s="13">
        <v>29.746282999999998</v>
      </c>
      <c r="G44" s="5"/>
      <c r="H44" s="2">
        <v>3.52725672373683E-5</v>
      </c>
      <c r="I44" s="20" t="s">
        <v>42</v>
      </c>
      <c r="J44" s="2">
        <v>2.1398000000000001E-5</v>
      </c>
      <c r="K44" s="29">
        <f t="shared" ref="K44:K52" si="11">P44*$T$4*$W$3*1E-24</f>
        <v>2.0412221199999998E-5</v>
      </c>
      <c r="L44" s="11" t="e">
        <f>I44/H44</f>
        <v>#VALUE!</v>
      </c>
      <c r="M44" s="32">
        <f>J44/H44</f>
        <v>0.60664708230623576</v>
      </c>
      <c r="N44" s="11">
        <f t="shared" ref="N44:N56" si="12">K44/H44</f>
        <v>0.57869961839281658</v>
      </c>
      <c r="O44" s="4"/>
      <c r="P44" s="29">
        <v>3.27644</v>
      </c>
      <c r="Q44" s="2"/>
    </row>
    <row r="45" spans="1:19" x14ac:dyDescent="0.3">
      <c r="A45" s="4">
        <v>0.5</v>
      </c>
      <c r="B45" s="9">
        <f t="shared" si="10"/>
        <v>0.20148367752532464</v>
      </c>
      <c r="C45" s="10">
        <v>1.055E-2</v>
      </c>
      <c r="D45" s="4"/>
      <c r="E45" s="6">
        <v>10.636900000000001</v>
      </c>
      <c r="F45" s="6">
        <v>13.302942</v>
      </c>
      <c r="G45" s="5"/>
      <c r="H45" s="5">
        <v>1.76088265923015E-4</v>
      </c>
      <c r="I45" s="21" t="s">
        <v>43</v>
      </c>
      <c r="J45" s="5">
        <v>1.0739300000000001E-4</v>
      </c>
      <c r="K45" s="30">
        <f t="shared" si="11"/>
        <v>1.0768492699999999E-4</v>
      </c>
      <c r="L45" s="9" t="e">
        <f t="shared" ref="L45:L56" si="13">I45/H45</f>
        <v>#VALUE!</v>
      </c>
      <c r="M45" s="33">
        <f t="shared" ref="M45:M56" si="14">J45/H45</f>
        <v>0.60988163769499404</v>
      </c>
      <c r="N45" s="9">
        <f t="shared" si="12"/>
        <v>0.61153948240412204</v>
      </c>
      <c r="O45" s="4"/>
      <c r="P45" s="30">
        <v>17.2849</v>
      </c>
      <c r="Q45" s="5"/>
    </row>
    <row r="46" spans="1:19" x14ac:dyDescent="0.3">
      <c r="A46">
        <v>1.5</v>
      </c>
      <c r="B46" s="11">
        <f t="shared" si="10"/>
        <v>0.60445103257597399</v>
      </c>
      <c r="C46" s="12">
        <v>3.1649999999999998E-2</v>
      </c>
      <c r="D46" s="4"/>
      <c r="E46" s="13">
        <v>6.1412170000000001</v>
      </c>
      <c r="F46" s="13">
        <v>7.6804569999999996</v>
      </c>
      <c r="G46" s="5"/>
      <c r="H46" s="2">
        <v>5.2684723504348998E-4</v>
      </c>
      <c r="I46" s="20" t="s">
        <v>44</v>
      </c>
      <c r="J46" s="2">
        <v>3.2153200000000002E-4</v>
      </c>
      <c r="K46" s="29">
        <f t="shared" si="11"/>
        <v>2.97874367E-4</v>
      </c>
      <c r="L46" s="11" t="e">
        <f t="shared" si="13"/>
        <v>#VALUE!</v>
      </c>
      <c r="M46" s="32">
        <f t="shared" si="14"/>
        <v>0.61029455715651293</v>
      </c>
      <c r="N46" s="11">
        <f t="shared" si="12"/>
        <v>0.56539039627950438</v>
      </c>
      <c r="O46" s="4"/>
      <c r="P46" s="29">
        <v>47.812899999999999</v>
      </c>
      <c r="Q46" s="2"/>
    </row>
    <row r="47" spans="1:19" x14ac:dyDescent="0.3">
      <c r="A47" s="4">
        <v>15</v>
      </c>
      <c r="B47" s="9">
        <f t="shared" si="10"/>
        <v>6.044510325759739</v>
      </c>
      <c r="C47" s="10">
        <v>0.31649699999999997</v>
      </c>
      <c r="D47" s="4"/>
      <c r="E47" s="6">
        <v>1.9420230000000001</v>
      </c>
      <c r="F47" s="6">
        <v>2.4287740000000002</v>
      </c>
      <c r="G47" s="5"/>
      <c r="H47" s="5">
        <v>5.02535867346246E-3</v>
      </c>
      <c r="I47" s="21">
        <v>2.8804099999999999E-3</v>
      </c>
      <c r="J47" s="5">
        <v>3.2092700000000002E-3</v>
      </c>
      <c r="K47" s="30">
        <f t="shared" si="11"/>
        <v>2.5144030799999998E-3</v>
      </c>
      <c r="L47" s="9">
        <f t="shared" si="13"/>
        <v>0.57317500842490199</v>
      </c>
      <c r="M47" s="33">
        <f t="shared" si="14"/>
        <v>0.63861511357334044</v>
      </c>
      <c r="N47" s="9">
        <f t="shared" si="12"/>
        <v>0.50034300900309314</v>
      </c>
      <c r="O47" s="4"/>
      <c r="P47" s="30">
        <v>403.596</v>
      </c>
      <c r="Q47" s="5"/>
    </row>
    <row r="48" spans="1:19" x14ac:dyDescent="0.3">
      <c r="A48">
        <v>30</v>
      </c>
      <c r="B48" s="11">
        <f t="shared" si="10"/>
        <v>12.089020651519478</v>
      </c>
      <c r="C48" s="12">
        <v>0.63299399999999995</v>
      </c>
      <c r="D48" s="4"/>
      <c r="E48" s="13">
        <v>1.373218</v>
      </c>
      <c r="F48" s="13">
        <v>1.7174020000000001</v>
      </c>
      <c r="G48" s="5"/>
      <c r="H48" s="2">
        <v>9.6096776712520909E-3</v>
      </c>
      <c r="I48" s="16">
        <v>5.7066199999999999E-3</v>
      </c>
      <c r="J48" s="2">
        <v>6.3941700000000002E-3</v>
      </c>
      <c r="K48" s="29">
        <f t="shared" si="11"/>
        <v>5.1434879999999999E-3</v>
      </c>
      <c r="L48" s="11">
        <f t="shared" si="13"/>
        <v>0.59384093777377001</v>
      </c>
      <c r="M48" s="32">
        <f t="shared" si="14"/>
        <v>0.66538860290064994</v>
      </c>
      <c r="N48" s="11">
        <f t="shared" si="12"/>
        <v>0.53524042907152269</v>
      </c>
      <c r="O48" s="4"/>
      <c r="P48" s="29">
        <v>825.6</v>
      </c>
      <c r="Q48" s="2"/>
    </row>
    <row r="49" spans="1:17" x14ac:dyDescent="0.3">
      <c r="A49" s="4">
        <v>60</v>
      </c>
      <c r="B49" s="9">
        <f t="shared" si="10"/>
        <v>24.178041303038956</v>
      </c>
      <c r="C49" s="10">
        <v>1.265987</v>
      </c>
      <c r="D49" s="4"/>
      <c r="E49" s="6">
        <v>0.97101199999999999</v>
      </c>
      <c r="F49" s="6">
        <v>1.2143870000000001</v>
      </c>
      <c r="G49" s="5"/>
      <c r="H49" s="5">
        <v>1.7956202904139199E-2</v>
      </c>
      <c r="I49" s="17">
        <v>1.13375E-2</v>
      </c>
      <c r="J49" s="5">
        <v>1.24683E-2</v>
      </c>
      <c r="K49" s="30">
        <f t="shared" si="11"/>
        <v>1.25591816E-2</v>
      </c>
      <c r="L49" s="9">
        <f t="shared" si="13"/>
        <v>0.6313974096041497</v>
      </c>
      <c r="M49" s="33">
        <f t="shared" si="14"/>
        <v>0.69437286193317926</v>
      </c>
      <c r="N49" s="9">
        <f t="shared" si="12"/>
        <v>0.69943415470677839</v>
      </c>
      <c r="O49" s="4"/>
      <c r="P49" s="30">
        <v>2015.92</v>
      </c>
      <c r="Q49" s="5"/>
    </row>
    <row r="50" spans="1:17" x14ac:dyDescent="0.3">
      <c r="A50">
        <v>90</v>
      </c>
      <c r="B50" s="11">
        <f t="shared" si="10"/>
        <v>36.267061954558436</v>
      </c>
      <c r="C50" s="12">
        <v>1.898981</v>
      </c>
      <c r="D50" s="4"/>
      <c r="E50" s="13">
        <v>0.79282799999999998</v>
      </c>
      <c r="F50" s="13">
        <v>0.99154299999999995</v>
      </c>
      <c r="G50" s="5"/>
      <c r="H50" s="2">
        <v>2.54716677488637E-2</v>
      </c>
      <c r="I50" s="16">
        <v>1.6732899999999998E-2</v>
      </c>
      <c r="J50" s="2">
        <v>1.86032E-2</v>
      </c>
      <c r="K50" s="29">
        <f t="shared" si="11"/>
        <v>1.8564839299999997E-2</v>
      </c>
      <c r="L50" s="11">
        <f t="shared" si="13"/>
        <v>0.65692204236396967</v>
      </c>
      <c r="M50" s="32">
        <f t="shared" si="14"/>
        <v>0.7303487224871601</v>
      </c>
      <c r="N50" s="11">
        <f t="shared" si="12"/>
        <v>0.72884270802520112</v>
      </c>
      <c r="O50" s="4"/>
      <c r="P50" s="29">
        <v>2979.91</v>
      </c>
      <c r="Q50" s="2"/>
    </row>
    <row r="51" spans="1:17" x14ac:dyDescent="0.3">
      <c r="A51" s="4">
        <v>120</v>
      </c>
      <c r="B51" s="9">
        <f t="shared" si="10"/>
        <v>48.356082606077912</v>
      </c>
      <c r="C51" s="10">
        <v>2.5319750000000001</v>
      </c>
      <c r="D51" s="4"/>
      <c r="E51" s="6">
        <v>0.68660900000000002</v>
      </c>
      <c r="F51" s="6">
        <v>0.85870100000000005</v>
      </c>
      <c r="G51" s="5"/>
      <c r="H51" s="5">
        <v>3.2417642839879697E-2</v>
      </c>
      <c r="I51" s="17">
        <v>2.1914300000000001E-2</v>
      </c>
      <c r="J51" s="5">
        <v>2.4458799999999999E-2</v>
      </c>
      <c r="K51" s="30">
        <f t="shared" si="11"/>
        <v>2.4434994500000001E-2</v>
      </c>
      <c r="L51" s="9">
        <f t="shared" si="13"/>
        <v>0.6759991807004968</v>
      </c>
      <c r="M51" s="33">
        <f t="shared" si="14"/>
        <v>0.75449039033495524</v>
      </c>
      <c r="N51" s="9">
        <f t="shared" si="12"/>
        <v>0.75375605255112621</v>
      </c>
      <c r="O51" s="4"/>
      <c r="P51" s="30">
        <v>3922.15</v>
      </c>
      <c r="Q51" s="5"/>
    </row>
    <row r="52" spans="1:17" x14ac:dyDescent="0.3">
      <c r="A52">
        <v>150</v>
      </c>
      <c r="B52" s="11">
        <f t="shared" si="10"/>
        <v>60.445103257597395</v>
      </c>
      <c r="C52" s="12">
        <v>3.1649690000000001</v>
      </c>
      <c r="D52" s="4"/>
      <c r="E52" s="13">
        <v>0.61412199999999995</v>
      </c>
      <c r="F52" s="13">
        <v>0.76804600000000001</v>
      </c>
      <c r="G52" s="5"/>
      <c r="H52" s="2">
        <v>3.9055212834252402E-2</v>
      </c>
      <c r="I52" s="16">
        <v>2.7247799999999999E-2</v>
      </c>
      <c r="J52" s="2">
        <v>2.9931300000000001E-2</v>
      </c>
      <c r="K52" s="29">
        <f t="shared" si="11"/>
        <v>3.0129525999999997E-2</v>
      </c>
      <c r="L52" s="11">
        <f t="shared" si="13"/>
        <v>0.69767383206021083</v>
      </c>
      <c r="M52" s="32">
        <f t="shared" si="14"/>
        <v>0.76638425008785249</v>
      </c>
      <c r="N52" s="11">
        <f t="shared" si="12"/>
        <v>0.77145978253575531</v>
      </c>
      <c r="O52" s="4"/>
      <c r="P52" s="29">
        <v>4836.2</v>
      </c>
      <c r="Q52" s="2"/>
    </row>
    <row r="53" spans="1:17" x14ac:dyDescent="0.3">
      <c r="A53" s="4">
        <v>250</v>
      </c>
      <c r="B53" s="9">
        <f t="shared" si="10"/>
        <v>100.74183876266233</v>
      </c>
      <c r="C53" s="10">
        <v>5.2749480000000002</v>
      </c>
      <c r="D53" s="4"/>
      <c r="E53" s="6">
        <v>0.47569699999999998</v>
      </c>
      <c r="F53" s="6">
        <v>0.59492599999999995</v>
      </c>
      <c r="G53" s="5"/>
      <c r="H53" s="5">
        <v>5.8983323870902299E-2</v>
      </c>
      <c r="I53" s="17">
        <v>4.3543999999999999E-2</v>
      </c>
      <c r="J53" s="5">
        <v>4.8447299999999999E-2</v>
      </c>
      <c r="K53" s="30">
        <f>P53*$T$5*$W$3*1E-24+0.008</f>
        <v>4.7207570499999997E-2</v>
      </c>
      <c r="L53" s="9">
        <f t="shared" si="13"/>
        <v>0.73824255980055342</v>
      </c>
      <c r="M53" s="33">
        <f t="shared" si="14"/>
        <v>0.82137283592286769</v>
      </c>
      <c r="N53" s="9">
        <f t="shared" si="12"/>
        <v>0.80035453077083152</v>
      </c>
      <c r="O53" s="4"/>
      <c r="P53" s="30">
        <v>6293.35</v>
      </c>
      <c r="Q53" s="5"/>
    </row>
    <row r="54" spans="1:17" x14ac:dyDescent="0.3">
      <c r="A54">
        <v>500</v>
      </c>
      <c r="B54" s="11">
        <f t="shared" si="10"/>
        <v>201.48367752532465</v>
      </c>
      <c r="C54" s="12">
        <v>10.549896</v>
      </c>
      <c r="D54" s="4"/>
      <c r="E54" s="13">
        <v>0.336368</v>
      </c>
      <c r="F54" s="13">
        <v>0.42067599999999999</v>
      </c>
      <c r="G54" s="5"/>
      <c r="H54" s="2">
        <v>0.103595084893309</v>
      </c>
      <c r="I54" s="16">
        <v>8.01066E-2</v>
      </c>
      <c r="J54" s="2">
        <v>8.9392399999999997E-2</v>
      </c>
      <c r="K54" s="29">
        <f>P54*$T$4*$W$3*1E-24</f>
        <v>8.9221698999999988E-2</v>
      </c>
      <c r="L54" s="11">
        <f t="shared" si="13"/>
        <v>0.77326641589705314</v>
      </c>
      <c r="M54" s="32">
        <f t="shared" si="14"/>
        <v>0.86290194261690956</v>
      </c>
      <c r="N54" s="11">
        <f t="shared" si="12"/>
        <v>0.86125417139131699</v>
      </c>
      <c r="O54" s="4"/>
      <c r="P54" s="29">
        <v>14321.3</v>
      </c>
      <c r="Q54" s="2"/>
    </row>
    <row r="55" spans="1:17" x14ac:dyDescent="0.3">
      <c r="A55" s="4">
        <v>750</v>
      </c>
      <c r="B55" s="9">
        <f t="shared" si="10"/>
        <v>302.22551628798698</v>
      </c>
      <c r="C55" s="10">
        <v>15.824844000000001</v>
      </c>
      <c r="D55" s="4"/>
      <c r="E55" s="6">
        <v>0.274644</v>
      </c>
      <c r="F55" s="6">
        <v>0.34348000000000001</v>
      </c>
      <c r="G55" s="5"/>
      <c r="H55" s="5">
        <v>0.14519436153500101</v>
      </c>
      <c r="I55" s="17">
        <v>0.114644</v>
      </c>
      <c r="J55" s="5">
        <v>0.12684899999999999</v>
      </c>
      <c r="K55" s="30">
        <f>P55*$T$4*$W$3*1E-24</f>
        <v>0.126647801</v>
      </c>
      <c r="L55" s="9">
        <f t="shared" si="13"/>
        <v>0.78958989032341698</v>
      </c>
      <c r="M55" s="33">
        <f t="shared" si="14"/>
        <v>0.87364962839429117</v>
      </c>
      <c r="N55" s="9">
        <f t="shared" si="12"/>
        <v>0.87226390653930375</v>
      </c>
      <c r="O55" s="4"/>
      <c r="P55" s="30">
        <v>20328.7</v>
      </c>
      <c r="Q55" s="5"/>
    </row>
    <row r="56" spans="1:17" x14ac:dyDescent="0.3">
      <c r="A56">
        <v>1000</v>
      </c>
      <c r="B56" s="11">
        <f t="shared" si="10"/>
        <v>402.9673550506493</v>
      </c>
      <c r="C56" s="12">
        <v>21.09958</v>
      </c>
      <c r="D56" s="4"/>
      <c r="E56" s="13">
        <v>0.23785000000000001</v>
      </c>
      <c r="F56" s="13">
        <v>0.29746400000000001</v>
      </c>
      <c r="G56" s="5"/>
      <c r="H56" s="2">
        <v>0.185920101577397</v>
      </c>
      <c r="I56" s="16"/>
      <c r="J56" s="2">
        <v>0.162772</v>
      </c>
      <c r="K56" s="29">
        <f>P56*$T$4*$W$3*1E-24</f>
        <v>0.16153143999999997</v>
      </c>
      <c r="L56" s="11">
        <f t="shared" si="13"/>
        <v>0</v>
      </c>
      <c r="M56" s="32">
        <f t="shared" si="14"/>
        <v>0.87549435816244625</v>
      </c>
      <c r="N56" s="11">
        <f t="shared" si="12"/>
        <v>0.86882181447580464</v>
      </c>
      <c r="O56" s="4"/>
      <c r="P56" s="29">
        <v>25928</v>
      </c>
    </row>
  </sheetData>
  <pageMargins left="0.7" right="0.7" top="0.75" bottom="0.75" header="0.3" footer="0.3"/>
  <ignoredErrors>
    <ignoredError sqref="K53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6C2-1180-4450-A3B0-0B08DD9AEC85}">
  <dimension ref="A1:W56"/>
  <sheetViews>
    <sheetView tabSelected="1" workbookViewId="0">
      <selection activeCell="T27" sqref="T27"/>
    </sheetView>
  </sheetViews>
  <sheetFormatPr defaultRowHeight="14.4" x14ac:dyDescent="0.3"/>
  <cols>
    <col min="1" max="1" width="12.33203125" customWidth="1"/>
    <col min="4" max="4" width="1.88671875" customWidth="1"/>
    <col min="5" max="6" width="8" customWidth="1"/>
    <col min="7" max="7" width="2.109375" customWidth="1"/>
    <col min="8" max="8" width="12.21875" customWidth="1"/>
    <col min="9" max="9" width="14.21875" customWidth="1"/>
    <col min="10" max="10" width="15.88671875" customWidth="1"/>
    <col min="11" max="11" width="15.33203125" customWidth="1"/>
    <col min="12" max="13" width="12.77734375" customWidth="1"/>
    <col min="14" max="14" width="16.44140625" customWidth="1"/>
    <col min="15" max="15" width="2.77734375" customWidth="1"/>
  </cols>
  <sheetData>
    <row r="1" spans="1:23" x14ac:dyDescent="0.3">
      <c r="A1" t="s">
        <v>20</v>
      </c>
      <c r="P1" s="1" t="s">
        <v>16</v>
      </c>
      <c r="Q1" s="1"/>
    </row>
    <row r="2" spans="1:23" x14ac:dyDescent="0.3">
      <c r="A2" t="s">
        <v>17</v>
      </c>
      <c r="P2" s="1" t="s">
        <v>7</v>
      </c>
      <c r="Q2" s="1" t="s">
        <v>6</v>
      </c>
      <c r="S2" s="1" t="s">
        <v>7</v>
      </c>
      <c r="T2" s="1" t="s">
        <v>6</v>
      </c>
      <c r="V2" s="1" t="s">
        <v>7</v>
      </c>
      <c r="W2" s="1" t="s">
        <v>6</v>
      </c>
    </row>
    <row r="3" spans="1:23" x14ac:dyDescent="0.3">
      <c r="A3" t="s">
        <v>18</v>
      </c>
      <c r="P3" t="s">
        <v>9</v>
      </c>
      <c r="Q3">
        <f>4/3*PI()*(0.04)^3</f>
        <v>2.6808257310632905E-4</v>
      </c>
      <c r="S3" t="s">
        <v>23</v>
      </c>
      <c r="T3">
        <v>2012</v>
      </c>
      <c r="V3" t="s">
        <v>13</v>
      </c>
      <c r="W3" s="2">
        <v>6.23E+18</v>
      </c>
    </row>
    <row r="4" spans="1:23" x14ac:dyDescent="0.3">
      <c r="A4" t="s">
        <v>19</v>
      </c>
      <c r="P4" t="s">
        <v>8</v>
      </c>
      <c r="Q4">
        <f>4/3*PI()*(0.05)^3</f>
        <v>5.2359877559829892E-4</v>
      </c>
      <c r="S4" t="s">
        <v>11</v>
      </c>
      <c r="T4">
        <v>1</v>
      </c>
    </row>
    <row r="5" spans="1:23" x14ac:dyDescent="0.3">
      <c r="A5" t="s">
        <v>25</v>
      </c>
      <c r="P5" t="s">
        <v>10</v>
      </c>
      <c r="Q5">
        <f>(238.02+32)/238.05 / Q3 / 10.5 / 100^3 * 1000</f>
        <v>0.40296735505064929</v>
      </c>
      <c r="S5" t="s">
        <v>12</v>
      </c>
      <c r="T5">
        <v>1</v>
      </c>
    </row>
    <row r="7" spans="1:23" x14ac:dyDescent="0.3">
      <c r="H7" s="1" t="s">
        <v>33</v>
      </c>
      <c r="I7" s="1"/>
      <c r="P7" s="1" t="s">
        <v>5</v>
      </c>
      <c r="Q7" s="1"/>
    </row>
    <row r="8" spans="1:23" x14ac:dyDescent="0.3">
      <c r="A8" s="23" t="s">
        <v>39</v>
      </c>
      <c r="B8" s="24"/>
      <c r="C8" s="24"/>
      <c r="H8" s="3"/>
      <c r="I8" s="19" t="s">
        <v>30</v>
      </c>
      <c r="J8" s="19" t="s">
        <v>30</v>
      </c>
      <c r="K8" s="19" t="s">
        <v>34</v>
      </c>
      <c r="L8" s="14" t="s">
        <v>21</v>
      </c>
      <c r="M8" s="14"/>
      <c r="N8" s="14"/>
      <c r="P8" s="8" t="s">
        <v>24</v>
      </c>
      <c r="Q8" s="8"/>
      <c r="R8" s="8"/>
      <c r="S8" s="8"/>
      <c r="T8" s="8"/>
    </row>
    <row r="9" spans="1:23" s="7" customFormat="1" x14ac:dyDescent="0.3">
      <c r="A9" s="7" t="s">
        <v>1</v>
      </c>
      <c r="B9" s="7" t="s">
        <v>2</v>
      </c>
      <c r="C9" s="7" t="s">
        <v>0</v>
      </c>
      <c r="E9" s="7" t="s">
        <v>14</v>
      </c>
      <c r="F9" s="7" t="s">
        <v>15</v>
      </c>
      <c r="H9" s="7" t="s">
        <v>22</v>
      </c>
      <c r="I9" s="7" t="s">
        <v>31</v>
      </c>
      <c r="J9" s="7" t="s">
        <v>32</v>
      </c>
      <c r="L9" s="15" t="s">
        <v>35</v>
      </c>
      <c r="M9" s="15" t="s">
        <v>36</v>
      </c>
      <c r="N9" s="15" t="s">
        <v>37</v>
      </c>
      <c r="P9" s="7" t="s">
        <v>3</v>
      </c>
      <c r="Q9" s="7" t="s">
        <v>26</v>
      </c>
    </row>
    <row r="10" spans="1:23" x14ac:dyDescent="0.3">
      <c r="A10">
        <v>0.1</v>
      </c>
      <c r="B10" s="11">
        <f t="shared" ref="B10:B22" si="0">A10*$Q$5</f>
        <v>4.0296735505064935E-2</v>
      </c>
      <c r="C10" s="12">
        <v>2.1099999999999999E-3</v>
      </c>
      <c r="D10" s="4"/>
      <c r="E10" s="13">
        <v>23.784832000000002</v>
      </c>
      <c r="F10" s="13">
        <v>29.746282999999998</v>
      </c>
      <c r="G10" s="5"/>
      <c r="H10">
        <v>1.40420707746021</v>
      </c>
      <c r="I10" s="22"/>
      <c r="J10" s="32">
        <f>1.35286+0.0130625</f>
        <v>1.3659224999999999</v>
      </c>
      <c r="K10" s="2"/>
      <c r="L10" s="11">
        <f t="shared" ref="L10:L22" si="1">I10/H10</f>
        <v>0</v>
      </c>
      <c r="M10" s="11">
        <f t="shared" ref="M10:M22" si="2">J10/H10</f>
        <v>0.97273580366119827</v>
      </c>
      <c r="N10" s="11">
        <f t="shared" ref="N10:N22" si="3">K10/H10</f>
        <v>0</v>
      </c>
      <c r="O10" s="4"/>
      <c r="P10" s="2">
        <v>2.7354699999999998E-3</v>
      </c>
      <c r="Q10" s="2"/>
      <c r="R10" s="2"/>
      <c r="S10" s="2"/>
    </row>
    <row r="11" spans="1:23" s="4" customFormat="1" x14ac:dyDescent="0.3">
      <c r="A11" s="4">
        <v>0.5</v>
      </c>
      <c r="B11" s="9">
        <f t="shared" si="0"/>
        <v>0.20148367752532464</v>
      </c>
      <c r="C11" s="10">
        <v>1.055E-2</v>
      </c>
      <c r="E11" s="6">
        <v>10.636900000000001</v>
      </c>
      <c r="F11" s="6">
        <v>13.302942</v>
      </c>
      <c r="G11" s="5"/>
      <c r="H11" s="4">
        <v>1.4042408208581401</v>
      </c>
      <c r="I11" s="26"/>
      <c r="J11" s="33">
        <f>1.35209+ 0.0130713</f>
        <v>1.3651613</v>
      </c>
      <c r="K11" s="5"/>
      <c r="L11" s="9">
        <f t="shared" si="1"/>
        <v>0</v>
      </c>
      <c r="M11" s="9">
        <f t="shared" si="2"/>
        <v>0.97217035690911024</v>
      </c>
      <c r="N11" s="9">
        <f t="shared" si="3"/>
        <v>0</v>
      </c>
      <c r="P11" s="5">
        <v>1.36516E-2</v>
      </c>
      <c r="Q11" s="5"/>
      <c r="R11" s="5"/>
      <c r="S11" s="5"/>
    </row>
    <row r="12" spans="1:23" x14ac:dyDescent="0.3">
      <c r="A12">
        <v>1.5</v>
      </c>
      <c r="B12" s="11">
        <f t="shared" si="0"/>
        <v>0.60445103257597399</v>
      </c>
      <c r="C12" s="12">
        <v>3.1649999999999998E-2</v>
      </c>
      <c r="D12" s="4"/>
      <c r="E12" s="13">
        <v>6.1412170000000001</v>
      </c>
      <c r="F12" s="13">
        <v>7.6804569999999996</v>
      </c>
      <c r="G12" s="5"/>
      <c r="H12">
        <v>1.4037049162311801</v>
      </c>
      <c r="I12" s="22"/>
      <c r="J12" s="32">
        <f>1.35042+0.0130583</f>
        <v>1.3634782999999999</v>
      </c>
      <c r="K12" s="2"/>
      <c r="L12" s="11">
        <f t="shared" si="1"/>
        <v>0</v>
      </c>
      <c r="M12" s="11">
        <f t="shared" si="2"/>
        <v>0.97134254089585648</v>
      </c>
      <c r="N12" s="11">
        <f t="shared" si="3"/>
        <v>0</v>
      </c>
      <c r="O12" s="4"/>
      <c r="P12" s="2">
        <v>4.0834000000000002E-2</v>
      </c>
      <c r="Q12" s="2"/>
      <c r="R12" s="2"/>
      <c r="S12" s="2"/>
    </row>
    <row r="13" spans="1:23" s="4" customFormat="1" x14ac:dyDescent="0.3">
      <c r="A13" s="4">
        <v>15</v>
      </c>
      <c r="B13" s="9">
        <f t="shared" si="0"/>
        <v>6.044510325759739</v>
      </c>
      <c r="C13" s="10">
        <v>0.31649699999999997</v>
      </c>
      <c r="E13" s="6">
        <v>1.9420230000000001</v>
      </c>
      <c r="F13" s="6">
        <v>2.4287740000000002</v>
      </c>
      <c r="G13" s="5"/>
      <c r="H13" s="4">
        <v>1.3978225806626601</v>
      </c>
      <c r="I13" s="26"/>
      <c r="J13" s="33">
        <f xml:space="preserve"> 1.3458+ 0.0130269</f>
        <v>1.3588269000000002</v>
      </c>
      <c r="K13" s="5"/>
      <c r="L13" s="9">
        <f t="shared" si="1"/>
        <v>0</v>
      </c>
      <c r="M13" s="9">
        <f t="shared" si="2"/>
        <v>0.97210255349847519</v>
      </c>
      <c r="N13" s="9">
        <f t="shared" si="3"/>
        <v>0</v>
      </c>
      <c r="P13" s="5">
        <v>0.38964700000000002</v>
      </c>
      <c r="Q13" s="5"/>
      <c r="R13" s="5"/>
      <c r="S13" s="5"/>
    </row>
    <row r="14" spans="1:23" x14ac:dyDescent="0.3">
      <c r="A14">
        <v>30</v>
      </c>
      <c r="B14" s="11">
        <f t="shared" si="0"/>
        <v>12.089020651519478</v>
      </c>
      <c r="C14" s="12">
        <v>0.63299399999999995</v>
      </c>
      <c r="D14" s="4"/>
      <c r="E14" s="13">
        <v>1.373218</v>
      </c>
      <c r="F14" s="13">
        <v>1.7174020000000001</v>
      </c>
      <c r="G14" s="5"/>
      <c r="H14">
        <v>1.3935791421766499</v>
      </c>
      <c r="I14" s="22"/>
      <c r="J14" s="32">
        <f xml:space="preserve"> 1.34161+ 0.0129693</f>
        <v>1.3545792999999999</v>
      </c>
      <c r="K14" s="2"/>
      <c r="L14" s="11">
        <f t="shared" si="1"/>
        <v>0</v>
      </c>
      <c r="M14" s="11">
        <f t="shared" si="2"/>
        <v>0.97201461976839321</v>
      </c>
      <c r="N14" s="11">
        <f t="shared" si="3"/>
        <v>0</v>
      </c>
      <c r="O14" s="4"/>
      <c r="P14" s="2">
        <v>0.74499899999999997</v>
      </c>
      <c r="Q14" s="2"/>
      <c r="R14" s="2"/>
      <c r="S14" s="2"/>
    </row>
    <row r="15" spans="1:23" s="4" customFormat="1" x14ac:dyDescent="0.3">
      <c r="A15" s="4">
        <v>60</v>
      </c>
      <c r="B15" s="9">
        <f t="shared" si="0"/>
        <v>24.178041303038956</v>
      </c>
      <c r="C15" s="10">
        <v>1.265987</v>
      </c>
      <c r="E15" s="6">
        <v>0.97101199999999999</v>
      </c>
      <c r="F15" s="6">
        <v>1.2143870000000001</v>
      </c>
      <c r="G15" s="5"/>
      <c r="H15" s="4">
        <v>1.38536063754419</v>
      </c>
      <c r="I15" s="26"/>
      <c r="J15" s="33">
        <f xml:space="preserve"> 1.33559+ 0.012842</f>
        <v>1.3484320000000001</v>
      </c>
      <c r="K15" s="5"/>
      <c r="L15" s="9">
        <f t="shared" si="1"/>
        <v>0</v>
      </c>
      <c r="M15" s="9">
        <f t="shared" si="2"/>
        <v>0.973343664787782</v>
      </c>
      <c r="N15" s="9">
        <f t="shared" si="3"/>
        <v>0</v>
      </c>
      <c r="P15" s="5">
        <v>1.38879</v>
      </c>
      <c r="Q15" s="5"/>
      <c r="R15" s="5"/>
      <c r="S15" s="5"/>
    </row>
    <row r="16" spans="1:23" x14ac:dyDescent="0.3">
      <c r="A16">
        <v>90</v>
      </c>
      <c r="B16" s="11">
        <f t="shared" si="0"/>
        <v>36.267061954558436</v>
      </c>
      <c r="C16" s="12">
        <v>1.898981</v>
      </c>
      <c r="D16" s="4"/>
      <c r="E16" s="13">
        <v>0.79282799999999998</v>
      </c>
      <c r="F16" s="13">
        <v>0.99154299999999995</v>
      </c>
      <c r="G16" s="5"/>
      <c r="H16">
        <v>1.37856347972413</v>
      </c>
      <c r="I16" s="22"/>
      <c r="J16" s="32">
        <f xml:space="preserve"> 1.32652+0.0127696</f>
        <v>1.3392895999999999</v>
      </c>
      <c r="K16" s="2"/>
      <c r="L16" s="11">
        <f t="shared" si="1"/>
        <v>0</v>
      </c>
      <c r="M16" s="11">
        <f t="shared" si="2"/>
        <v>0.97151101106204452</v>
      </c>
      <c r="N16" s="11">
        <f t="shared" si="3"/>
        <v>0</v>
      </c>
      <c r="O16" s="4"/>
      <c r="P16" s="2">
        <v>1.97027</v>
      </c>
      <c r="Q16" s="2"/>
      <c r="R16" s="2"/>
      <c r="S16" s="2"/>
    </row>
    <row r="17" spans="1:19" s="4" customFormat="1" x14ac:dyDescent="0.3">
      <c r="A17" s="4">
        <v>120</v>
      </c>
      <c r="B17" s="9">
        <f t="shared" si="0"/>
        <v>48.356082606077912</v>
      </c>
      <c r="C17" s="10">
        <v>2.5319750000000001</v>
      </c>
      <c r="E17" s="6">
        <v>0.68660900000000002</v>
      </c>
      <c r="F17" s="6">
        <v>0.85870100000000005</v>
      </c>
      <c r="G17" s="5"/>
      <c r="H17" s="4">
        <v>1.3699400435562701</v>
      </c>
      <c r="I17" s="26"/>
      <c r="J17" s="33">
        <f xml:space="preserve"> 1.31981+0.0126516</f>
        <v>1.3324616</v>
      </c>
      <c r="K17" s="5"/>
      <c r="L17" s="9">
        <f t="shared" si="1"/>
        <v>0</v>
      </c>
      <c r="M17" s="9">
        <f t="shared" si="2"/>
        <v>0.97264227457795993</v>
      </c>
      <c r="N17" s="9">
        <f t="shared" si="3"/>
        <v>0</v>
      </c>
      <c r="P17" s="5">
        <v>2.5127600000000001</v>
      </c>
      <c r="Q17" s="5"/>
      <c r="R17" s="5"/>
      <c r="S17" s="5"/>
    </row>
    <row r="18" spans="1:19" x14ac:dyDescent="0.3">
      <c r="A18">
        <v>150</v>
      </c>
      <c r="B18" s="11">
        <f t="shared" si="0"/>
        <v>60.445103257597395</v>
      </c>
      <c r="C18" s="12">
        <v>3.1649690000000001</v>
      </c>
      <c r="D18" s="4"/>
      <c r="E18" s="13">
        <v>0.61412199999999995</v>
      </c>
      <c r="F18" s="13">
        <v>0.76804600000000001</v>
      </c>
      <c r="G18" s="5"/>
      <c r="H18">
        <v>1.3618779251700099</v>
      </c>
      <c r="I18" s="22"/>
      <c r="J18" s="32">
        <f xml:space="preserve"> 1.31449+0.0125614</f>
        <v>1.3270514</v>
      </c>
      <c r="K18" s="2"/>
      <c r="L18" s="11">
        <f t="shared" si="1"/>
        <v>0</v>
      </c>
      <c r="M18" s="11">
        <f t="shared" si="2"/>
        <v>0.97442757201188768</v>
      </c>
      <c r="N18" s="11">
        <f t="shared" si="3"/>
        <v>0</v>
      </c>
      <c r="O18" s="4"/>
      <c r="P18" s="2">
        <v>3.0296099999999999</v>
      </c>
      <c r="Q18" s="2"/>
      <c r="R18" s="2"/>
      <c r="S18" s="2"/>
    </row>
    <row r="19" spans="1:19" s="4" customFormat="1" x14ac:dyDescent="0.3">
      <c r="A19" s="4">
        <v>250</v>
      </c>
      <c r="B19" s="9">
        <f t="shared" si="0"/>
        <v>100.74183876266233</v>
      </c>
      <c r="C19" s="10">
        <v>5.2749480000000002</v>
      </c>
      <c r="E19" s="6">
        <v>0.47569699999999998</v>
      </c>
      <c r="F19" s="6">
        <v>0.59492599999999995</v>
      </c>
      <c r="G19" s="5"/>
      <c r="H19" s="4">
        <v>1.34128105403747</v>
      </c>
      <c r="I19" s="26"/>
      <c r="J19" s="33">
        <f>1.29243+0.0122101</f>
        <v>1.3046400999999999</v>
      </c>
      <c r="K19" s="5"/>
      <c r="L19" s="9">
        <f t="shared" si="1"/>
        <v>0</v>
      </c>
      <c r="M19" s="9">
        <f t="shared" si="2"/>
        <v>0.9726821206285029</v>
      </c>
      <c r="N19" s="9">
        <f t="shared" si="3"/>
        <v>0</v>
      </c>
      <c r="P19" s="5">
        <v>4.60677</v>
      </c>
      <c r="Q19" s="5"/>
      <c r="R19" s="5"/>
      <c r="S19" s="5"/>
    </row>
    <row r="20" spans="1:19" x14ac:dyDescent="0.3">
      <c r="A20">
        <v>500</v>
      </c>
      <c r="B20" s="11">
        <f t="shared" si="0"/>
        <v>201.48367752532465</v>
      </c>
      <c r="C20" s="12">
        <v>10.549896</v>
      </c>
      <c r="D20" s="4"/>
      <c r="E20" s="13">
        <v>0.336368</v>
      </c>
      <c r="F20" s="13">
        <v>0.42067599999999999</v>
      </c>
      <c r="G20" s="5"/>
      <c r="H20">
        <v>1.2896852557910301</v>
      </c>
      <c r="I20" s="22"/>
      <c r="J20" s="32">
        <f xml:space="preserve"> 1.24511+0.0114002</f>
        <v>1.2565101999999999</v>
      </c>
      <c r="K20" s="2"/>
      <c r="L20" s="11">
        <f t="shared" si="1"/>
        <v>0</v>
      </c>
      <c r="M20" s="11">
        <f t="shared" si="2"/>
        <v>0.97427662629927314</v>
      </c>
      <c r="N20" s="11">
        <f t="shared" si="3"/>
        <v>0</v>
      </c>
      <c r="O20" s="4"/>
      <c r="P20" s="2">
        <v>8.0803100000000008</v>
      </c>
      <c r="Q20" s="2"/>
      <c r="R20" s="2"/>
      <c r="S20" s="2"/>
    </row>
    <row r="21" spans="1:19" s="4" customFormat="1" x14ac:dyDescent="0.3">
      <c r="A21" s="4">
        <v>750</v>
      </c>
      <c r="B21" s="9">
        <f t="shared" si="0"/>
        <v>302.22551628798698</v>
      </c>
      <c r="C21" s="10">
        <v>15.824844000000001</v>
      </c>
      <c r="E21" s="6">
        <v>0.274644</v>
      </c>
      <c r="F21" s="6">
        <v>0.34348000000000001</v>
      </c>
      <c r="G21" s="5"/>
      <c r="H21" s="4">
        <v>1.24225887840578</v>
      </c>
      <c r="I21" s="26"/>
      <c r="J21" s="33">
        <f>1.19988+ 0.0105698</f>
        <v>1.2104498000000001</v>
      </c>
      <c r="K21" s="5"/>
      <c r="L21" s="9">
        <f t="shared" si="1"/>
        <v>0</v>
      </c>
      <c r="M21" s="9">
        <f t="shared" si="2"/>
        <v>0.97439416295691827</v>
      </c>
      <c r="N21" s="9">
        <f t="shared" si="3"/>
        <v>0</v>
      </c>
      <c r="P21" s="5">
        <v>11.315899999999999</v>
      </c>
      <c r="Q21" s="5"/>
      <c r="R21" s="5"/>
      <c r="S21" s="5"/>
    </row>
    <row r="22" spans="1:19" x14ac:dyDescent="0.3">
      <c r="A22">
        <v>1000</v>
      </c>
      <c r="B22" s="11">
        <f t="shared" si="0"/>
        <v>402.9673550506493</v>
      </c>
      <c r="C22" s="12">
        <v>21.09958</v>
      </c>
      <c r="D22" s="4"/>
      <c r="E22" s="13">
        <v>0.23785000000000001</v>
      </c>
      <c r="F22" s="13">
        <v>0.29746400000000001</v>
      </c>
      <c r="G22" s="5"/>
      <c r="H22">
        <v>1.1938794039418501</v>
      </c>
      <c r="I22" s="22"/>
      <c r="J22" s="32">
        <f>1.15479+0.00980097</f>
        <v>1.1645909699999999</v>
      </c>
      <c r="K22" s="2"/>
      <c r="L22" s="11">
        <f t="shared" si="1"/>
        <v>0</v>
      </c>
      <c r="M22" s="11">
        <f t="shared" si="2"/>
        <v>0.97546784554189636</v>
      </c>
      <c r="N22" s="11">
        <f t="shared" si="3"/>
        <v>0</v>
      </c>
      <c r="O22" s="4"/>
      <c r="P22" s="2">
        <v>14.487</v>
      </c>
      <c r="Q22" s="2"/>
      <c r="R22" s="2"/>
      <c r="S22" s="2"/>
    </row>
    <row r="23" spans="1:19" x14ac:dyDescent="0.3">
      <c r="B23" s="11"/>
      <c r="C23" s="11"/>
    </row>
    <row r="24" spans="1:19" x14ac:dyDescent="0.3">
      <c r="B24" s="11"/>
      <c r="C24" s="11"/>
      <c r="H24" s="1" t="s">
        <v>33</v>
      </c>
    </row>
    <row r="25" spans="1:19" x14ac:dyDescent="0.3">
      <c r="A25" s="23" t="s">
        <v>38</v>
      </c>
      <c r="B25" s="24"/>
      <c r="C25" s="24"/>
      <c r="H25" s="19" t="s">
        <v>45</v>
      </c>
      <c r="I25" s="19" t="s">
        <v>30</v>
      </c>
      <c r="J25" s="19" t="s">
        <v>30</v>
      </c>
      <c r="K25" s="19" t="s">
        <v>34</v>
      </c>
      <c r="L25" s="14" t="s">
        <v>21</v>
      </c>
      <c r="M25" s="14"/>
      <c r="N25" s="14"/>
      <c r="P25" s="8" t="s">
        <v>24</v>
      </c>
      <c r="Q25" s="8"/>
      <c r="R25" s="8"/>
    </row>
    <row r="26" spans="1:19" s="18" customFormat="1" x14ac:dyDescent="0.3">
      <c r="A26" s="7" t="s">
        <v>1</v>
      </c>
      <c r="B26" s="7" t="s">
        <v>2</v>
      </c>
      <c r="C26" s="7" t="s">
        <v>0</v>
      </c>
      <c r="D26" s="7"/>
      <c r="E26" s="7" t="s">
        <v>14</v>
      </c>
      <c r="F26" s="7" t="s">
        <v>15</v>
      </c>
      <c r="G26" s="7"/>
      <c r="H26" s="7" t="s">
        <v>22</v>
      </c>
      <c r="I26" s="7" t="s">
        <v>31</v>
      </c>
      <c r="J26" s="7" t="s">
        <v>32</v>
      </c>
      <c r="K26" s="7"/>
      <c r="L26" s="15" t="s">
        <v>35</v>
      </c>
      <c r="M26" s="15" t="s">
        <v>36</v>
      </c>
      <c r="N26" s="15" t="s">
        <v>37</v>
      </c>
      <c r="P26" s="7" t="s">
        <v>4</v>
      </c>
      <c r="Q26" s="7" t="s">
        <v>27</v>
      </c>
    </row>
    <row r="27" spans="1:19" x14ac:dyDescent="0.3">
      <c r="A27">
        <v>0.1</v>
      </c>
      <c r="B27" s="11">
        <f t="shared" ref="B27:B39" si="4">A27*$Q$5</f>
        <v>4.0296735505064935E-2</v>
      </c>
      <c r="C27" s="12">
        <v>2.1099999999999999E-3</v>
      </c>
      <c r="D27" s="4"/>
      <c r="E27" s="13">
        <v>23.784832000000002</v>
      </c>
      <c r="F27" s="13">
        <v>29.746282999999998</v>
      </c>
      <c r="G27" s="5"/>
      <c r="H27" s="27">
        <v>3.52725672373683E-5</v>
      </c>
      <c r="I27" s="22"/>
      <c r="J27" s="2"/>
      <c r="K27" s="2"/>
      <c r="L27" s="11">
        <f t="shared" ref="L27:L39" si="5">I27/H27</f>
        <v>0</v>
      </c>
      <c r="M27" s="11">
        <f t="shared" ref="M27:M39" si="6">J27/H27</f>
        <v>0</v>
      </c>
      <c r="N27" s="11">
        <f t="shared" ref="N27:N39" si="7">K27/H27</f>
        <v>0</v>
      </c>
      <c r="O27" s="4"/>
      <c r="P27" s="2">
        <v>3.3329800000000001</v>
      </c>
      <c r="Q27" s="2"/>
    </row>
    <row r="28" spans="1:19" s="4" customFormat="1" x14ac:dyDescent="0.3">
      <c r="A28" s="4">
        <v>0.5</v>
      </c>
      <c r="B28" s="9">
        <f t="shared" si="4"/>
        <v>0.20148367752532464</v>
      </c>
      <c r="C28" s="10">
        <v>1.055E-2</v>
      </c>
      <c r="E28" s="6">
        <v>10.636900000000001</v>
      </c>
      <c r="F28" s="6">
        <v>13.302942</v>
      </c>
      <c r="G28" s="5"/>
      <c r="H28" s="28">
        <v>1.76088265923015E-4</v>
      </c>
      <c r="I28" s="26"/>
      <c r="J28" s="5"/>
      <c r="K28" s="5"/>
      <c r="L28" s="9">
        <f t="shared" si="5"/>
        <v>0</v>
      </c>
      <c r="M28" s="9">
        <f t="shared" si="6"/>
        <v>0</v>
      </c>
      <c r="N28" s="9">
        <f t="shared" si="7"/>
        <v>0</v>
      </c>
      <c r="P28" s="5">
        <v>17.754799999999999</v>
      </c>
      <c r="Q28" s="5"/>
    </row>
    <row r="29" spans="1:19" x14ac:dyDescent="0.3">
      <c r="A29">
        <v>1.5</v>
      </c>
      <c r="B29" s="11">
        <f t="shared" si="4"/>
        <v>0.60445103257597399</v>
      </c>
      <c r="C29" s="12">
        <v>3.1649999999999998E-2</v>
      </c>
      <c r="D29" s="4"/>
      <c r="E29" s="13">
        <v>6.1412170000000001</v>
      </c>
      <c r="F29" s="13">
        <v>7.6804569999999996</v>
      </c>
      <c r="G29" s="5"/>
      <c r="H29" s="27">
        <v>5.2684723504348998E-4</v>
      </c>
      <c r="I29" s="22"/>
      <c r="J29" s="2"/>
      <c r="K29" s="2"/>
      <c r="L29" s="11">
        <f t="shared" si="5"/>
        <v>0</v>
      </c>
      <c r="M29" s="11">
        <f t="shared" si="6"/>
        <v>0</v>
      </c>
      <c r="N29" s="11">
        <f t="shared" si="7"/>
        <v>0</v>
      </c>
      <c r="O29" s="4"/>
      <c r="P29" s="2">
        <v>53.846200000000003</v>
      </c>
      <c r="Q29" s="2"/>
    </row>
    <row r="30" spans="1:19" s="4" customFormat="1" x14ac:dyDescent="0.3">
      <c r="A30" s="4">
        <v>15</v>
      </c>
      <c r="B30" s="9">
        <f t="shared" si="4"/>
        <v>6.044510325759739</v>
      </c>
      <c r="C30" s="10">
        <v>0.31649699999999997</v>
      </c>
      <c r="E30" s="6">
        <v>1.9420230000000001</v>
      </c>
      <c r="F30" s="6">
        <v>2.4287740000000002</v>
      </c>
      <c r="G30" s="5"/>
      <c r="H30" s="28">
        <v>5.02535867346246E-3</v>
      </c>
      <c r="I30" s="26"/>
      <c r="J30" s="5"/>
      <c r="K30" s="5"/>
      <c r="L30" s="9">
        <f t="shared" si="5"/>
        <v>0</v>
      </c>
      <c r="M30" s="9">
        <f t="shared" si="6"/>
        <v>0</v>
      </c>
      <c r="N30" s="9">
        <f t="shared" si="7"/>
        <v>0</v>
      </c>
      <c r="P30" s="5">
        <v>501.38499999999999</v>
      </c>
      <c r="Q30" s="5"/>
    </row>
    <row r="31" spans="1:19" x14ac:dyDescent="0.3">
      <c r="A31">
        <v>30</v>
      </c>
      <c r="B31" s="11">
        <f t="shared" si="4"/>
        <v>12.089020651519478</v>
      </c>
      <c r="C31" s="12">
        <v>0.63299399999999995</v>
      </c>
      <c r="D31" s="4"/>
      <c r="E31" s="13">
        <v>1.373218</v>
      </c>
      <c r="F31" s="13">
        <v>1.7174020000000001</v>
      </c>
      <c r="G31" s="5"/>
      <c r="H31" s="27">
        <v>9.6096776712520909E-3</v>
      </c>
      <c r="I31" s="25"/>
      <c r="J31" s="2"/>
      <c r="K31" s="2"/>
      <c r="L31" s="11">
        <f t="shared" si="5"/>
        <v>0</v>
      </c>
      <c r="M31" s="11">
        <f t="shared" si="6"/>
        <v>0</v>
      </c>
      <c r="N31" s="11">
        <f t="shared" si="7"/>
        <v>0</v>
      </c>
      <c r="O31" s="4"/>
      <c r="P31" s="2">
        <v>1004.46</v>
      </c>
      <c r="Q31" s="2"/>
    </row>
    <row r="32" spans="1:19" s="4" customFormat="1" x14ac:dyDescent="0.3">
      <c r="A32" s="4">
        <v>60</v>
      </c>
      <c r="B32" s="9">
        <f t="shared" si="4"/>
        <v>24.178041303038956</v>
      </c>
      <c r="C32" s="10">
        <v>1.265987</v>
      </c>
      <c r="E32" s="6">
        <v>0.97101199999999999</v>
      </c>
      <c r="F32" s="6">
        <v>1.2143870000000001</v>
      </c>
      <c r="G32" s="5"/>
      <c r="H32" s="28">
        <v>1.7956202904139199E-2</v>
      </c>
      <c r="I32" s="26"/>
      <c r="J32" s="5"/>
      <c r="K32" s="5"/>
      <c r="L32" s="9">
        <f t="shared" si="5"/>
        <v>0</v>
      </c>
      <c r="M32" s="9">
        <f t="shared" si="6"/>
        <v>0</v>
      </c>
      <c r="N32" s="9">
        <f t="shared" si="7"/>
        <v>0</v>
      </c>
      <c r="P32" s="5">
        <v>2051.4299999999998</v>
      </c>
      <c r="Q32" s="5"/>
      <c r="S32" s="5"/>
    </row>
    <row r="33" spans="1:19" x14ac:dyDescent="0.3">
      <c r="A33">
        <v>90</v>
      </c>
      <c r="B33" s="11">
        <f t="shared" si="4"/>
        <v>36.267061954558436</v>
      </c>
      <c r="C33" s="12">
        <v>1.898981</v>
      </c>
      <c r="D33" s="4"/>
      <c r="E33" s="13">
        <v>0.79282799999999998</v>
      </c>
      <c r="F33" s="13">
        <v>0.99154299999999995</v>
      </c>
      <c r="G33" s="5"/>
      <c r="H33" s="27">
        <v>2.54716677488637E-2</v>
      </c>
      <c r="I33" s="22"/>
      <c r="J33" s="2"/>
      <c r="K33" s="2"/>
      <c r="L33" s="11">
        <f t="shared" si="5"/>
        <v>0</v>
      </c>
      <c r="M33" s="11">
        <f t="shared" si="6"/>
        <v>0</v>
      </c>
      <c r="N33" s="11">
        <f t="shared" si="7"/>
        <v>0</v>
      </c>
      <c r="O33" s="4"/>
      <c r="P33" s="2">
        <v>2942.48</v>
      </c>
      <c r="Q33" s="2"/>
      <c r="R33" s="2"/>
      <c r="S33" s="2"/>
    </row>
    <row r="34" spans="1:19" s="4" customFormat="1" x14ac:dyDescent="0.3">
      <c r="A34" s="4">
        <v>120</v>
      </c>
      <c r="B34" s="9">
        <f t="shared" si="4"/>
        <v>48.356082606077912</v>
      </c>
      <c r="C34" s="10">
        <v>2.5319750000000001</v>
      </c>
      <c r="E34" s="6">
        <v>0.68660900000000002</v>
      </c>
      <c r="F34" s="6">
        <v>0.85870100000000005</v>
      </c>
      <c r="G34" s="5"/>
      <c r="H34" s="28">
        <v>3.2417642839879697E-2</v>
      </c>
      <c r="I34" s="26"/>
      <c r="J34" s="5"/>
      <c r="K34" s="5"/>
      <c r="L34" s="9">
        <f t="shared" si="5"/>
        <v>0</v>
      </c>
      <c r="M34" s="9">
        <f t="shared" si="6"/>
        <v>0</v>
      </c>
      <c r="N34" s="9">
        <f t="shared" si="7"/>
        <v>0</v>
      </c>
      <c r="P34" s="5">
        <v>3953.77</v>
      </c>
      <c r="Q34" s="5"/>
    </row>
    <row r="35" spans="1:19" x14ac:dyDescent="0.3">
      <c r="A35">
        <v>150</v>
      </c>
      <c r="B35" s="11">
        <f t="shared" si="4"/>
        <v>60.445103257597395</v>
      </c>
      <c r="C35" s="12">
        <v>3.1649690000000001</v>
      </c>
      <c r="D35" s="4"/>
      <c r="E35" s="13">
        <v>0.61412199999999995</v>
      </c>
      <c r="F35" s="13">
        <v>0.76804600000000001</v>
      </c>
      <c r="G35" s="5"/>
      <c r="H35" s="27">
        <v>3.9055212834252402E-2</v>
      </c>
      <c r="I35" s="25"/>
      <c r="J35" s="2"/>
      <c r="K35" s="2"/>
      <c r="L35" s="11">
        <f t="shared" si="5"/>
        <v>0</v>
      </c>
      <c r="M35" s="11">
        <f t="shared" si="6"/>
        <v>0</v>
      </c>
      <c r="N35" s="11">
        <f t="shared" si="7"/>
        <v>0</v>
      </c>
      <c r="O35" s="4"/>
      <c r="P35" s="2">
        <v>4848.5</v>
      </c>
      <c r="Q35" s="2"/>
    </row>
    <row r="36" spans="1:19" s="4" customFormat="1" x14ac:dyDescent="0.3">
      <c r="A36" s="4">
        <v>250</v>
      </c>
      <c r="B36" s="9">
        <f t="shared" si="4"/>
        <v>100.74183876266233</v>
      </c>
      <c r="C36" s="10">
        <v>5.2749480000000002</v>
      </c>
      <c r="E36" s="6">
        <v>0.47569699999999998</v>
      </c>
      <c r="F36" s="6">
        <v>0.59492599999999995</v>
      </c>
      <c r="G36" s="5"/>
      <c r="H36" s="28">
        <v>5.8983323870902299E-2</v>
      </c>
      <c r="I36" s="26"/>
      <c r="J36" s="5"/>
      <c r="K36" s="5"/>
      <c r="L36" s="9">
        <f t="shared" si="5"/>
        <v>0</v>
      </c>
      <c r="M36" s="9">
        <f t="shared" si="6"/>
        <v>0</v>
      </c>
      <c r="N36" s="9">
        <f t="shared" si="7"/>
        <v>0</v>
      </c>
      <c r="P36" s="5">
        <v>7741.71</v>
      </c>
      <c r="Q36" s="5"/>
    </row>
    <row r="37" spans="1:19" x14ac:dyDescent="0.3">
      <c r="A37">
        <v>500</v>
      </c>
      <c r="B37" s="11">
        <f t="shared" si="4"/>
        <v>201.48367752532465</v>
      </c>
      <c r="C37" s="12">
        <v>10.549896</v>
      </c>
      <c r="D37" s="4"/>
      <c r="E37" s="13">
        <v>0.336368</v>
      </c>
      <c r="F37" s="13">
        <v>0.42067599999999999</v>
      </c>
      <c r="G37" s="5"/>
      <c r="H37" s="27">
        <v>0.103595084893309</v>
      </c>
      <c r="I37" s="25"/>
      <c r="J37" s="2"/>
      <c r="K37" s="2"/>
      <c r="L37" s="11">
        <f t="shared" si="5"/>
        <v>0</v>
      </c>
      <c r="M37" s="11">
        <f t="shared" si="6"/>
        <v>0</v>
      </c>
      <c r="N37" s="11">
        <f t="shared" si="7"/>
        <v>0</v>
      </c>
      <c r="O37" s="4"/>
      <c r="P37" s="2">
        <v>14216.1</v>
      </c>
      <c r="Q37" s="2"/>
    </row>
    <row r="38" spans="1:19" s="4" customFormat="1" x14ac:dyDescent="0.3">
      <c r="A38" s="4">
        <v>750</v>
      </c>
      <c r="B38" s="9">
        <f t="shared" si="4"/>
        <v>302.22551628798698</v>
      </c>
      <c r="C38" s="10">
        <v>15.824844000000001</v>
      </c>
      <c r="E38" s="6">
        <v>0.274644</v>
      </c>
      <c r="F38" s="6">
        <v>0.34348000000000001</v>
      </c>
      <c r="G38" s="5"/>
      <c r="H38" s="28">
        <v>0.14519436153500101</v>
      </c>
      <c r="I38" s="26"/>
      <c r="J38" s="5"/>
      <c r="K38" s="5"/>
      <c r="L38" s="9">
        <f t="shared" si="5"/>
        <v>0</v>
      </c>
      <c r="M38" s="9">
        <f t="shared" si="6"/>
        <v>0</v>
      </c>
      <c r="N38" s="9">
        <f t="shared" si="7"/>
        <v>0</v>
      </c>
      <c r="P38" s="5">
        <v>19959.8</v>
      </c>
      <c r="Q38" s="5"/>
    </row>
    <row r="39" spans="1:19" x14ac:dyDescent="0.3">
      <c r="A39">
        <v>1000</v>
      </c>
      <c r="B39" s="11">
        <f t="shared" si="4"/>
        <v>402.9673550506493</v>
      </c>
      <c r="C39" s="12">
        <v>21.09958</v>
      </c>
      <c r="D39" s="4"/>
      <c r="E39" s="13">
        <v>0.23785000000000001</v>
      </c>
      <c r="F39" s="13">
        <v>0.29746400000000001</v>
      </c>
      <c r="G39" s="5"/>
      <c r="H39" s="27">
        <v>0.185920101577397</v>
      </c>
      <c r="I39" s="22"/>
      <c r="J39" s="2"/>
      <c r="K39" s="2"/>
      <c r="L39" s="11">
        <f t="shared" si="5"/>
        <v>0</v>
      </c>
      <c r="M39" s="11">
        <f t="shared" si="6"/>
        <v>0</v>
      </c>
      <c r="N39" s="11">
        <f t="shared" si="7"/>
        <v>0</v>
      </c>
      <c r="O39" s="4"/>
      <c r="P39" s="2">
        <v>26034.400000000001</v>
      </c>
    </row>
    <row r="40" spans="1:19" x14ac:dyDescent="0.3">
      <c r="B40" s="11"/>
      <c r="C40" s="12"/>
      <c r="E40" s="13"/>
      <c r="F40" s="13"/>
      <c r="G40" s="2"/>
      <c r="H40" s="2"/>
      <c r="I40" s="22"/>
      <c r="J40" s="2"/>
      <c r="K40" s="2"/>
      <c r="L40" s="11"/>
      <c r="M40" s="11"/>
      <c r="N40" s="11"/>
      <c r="O40" s="4"/>
    </row>
    <row r="41" spans="1:19" x14ac:dyDescent="0.3">
      <c r="H41" s="1" t="s">
        <v>33</v>
      </c>
      <c r="P41" s="2"/>
      <c r="Q41" s="2"/>
    </row>
    <row r="42" spans="1:19" x14ac:dyDescent="0.3">
      <c r="A42" s="23" t="s">
        <v>40</v>
      </c>
      <c r="B42" s="24"/>
      <c r="C42" s="24"/>
      <c r="I42" s="19" t="s">
        <v>30</v>
      </c>
      <c r="J42" s="19" t="s">
        <v>30</v>
      </c>
      <c r="K42" s="19" t="s">
        <v>34</v>
      </c>
      <c r="L42" s="14" t="s">
        <v>21</v>
      </c>
      <c r="M42" s="14"/>
      <c r="N42" s="14"/>
      <c r="P42" s="8" t="s">
        <v>24</v>
      </c>
      <c r="Q42" s="8"/>
    </row>
    <row r="43" spans="1:19" x14ac:dyDescent="0.3">
      <c r="A43" s="7" t="s">
        <v>1</v>
      </c>
      <c r="B43" s="7" t="s">
        <v>2</v>
      </c>
      <c r="C43" s="7" t="s">
        <v>0</v>
      </c>
      <c r="D43" s="7"/>
      <c r="E43" s="7" t="s">
        <v>14</v>
      </c>
      <c r="F43" s="7" t="s">
        <v>15</v>
      </c>
      <c r="G43" s="7"/>
      <c r="H43" s="7" t="s">
        <v>22</v>
      </c>
      <c r="I43" s="7" t="s">
        <v>41</v>
      </c>
      <c r="J43" s="7" t="s">
        <v>32</v>
      </c>
      <c r="K43" s="7"/>
      <c r="L43" s="15" t="s">
        <v>35</v>
      </c>
      <c r="M43" s="15" t="s">
        <v>36</v>
      </c>
      <c r="N43" s="15" t="s">
        <v>37</v>
      </c>
      <c r="O43" s="18"/>
      <c r="P43" s="7" t="s">
        <v>29</v>
      </c>
      <c r="Q43" s="7" t="s">
        <v>28</v>
      </c>
    </row>
    <row r="44" spans="1:19" x14ac:dyDescent="0.3">
      <c r="A44">
        <v>0.1</v>
      </c>
      <c r="B44" s="11">
        <f t="shared" ref="B44:B56" si="8">A44*$Q$5</f>
        <v>4.0296735505064935E-2</v>
      </c>
      <c r="C44" s="12">
        <v>2.1099999999999999E-3</v>
      </c>
      <c r="D44" s="4"/>
      <c r="E44" s="13">
        <v>23.784832000000002</v>
      </c>
      <c r="F44" s="13">
        <v>29.746282999999998</v>
      </c>
      <c r="G44" s="5"/>
      <c r="H44">
        <v>1.40420707746021</v>
      </c>
      <c r="I44" s="20"/>
      <c r="J44">
        <f>1.36234+0.0168074</f>
        <v>1.3791474000000001</v>
      </c>
      <c r="K44" s="29">
        <f t="shared" ref="K44:K53" si="9">P44*$T$4*$W$3*1E-24</f>
        <v>1.3430197899999997E-8</v>
      </c>
      <c r="L44" s="11">
        <f>I44/H44</f>
        <v>0</v>
      </c>
      <c r="M44" s="32">
        <f>J44/H44</f>
        <v>0.98215385902659358</v>
      </c>
      <c r="N44" s="11">
        <f t="shared" ref="N44:N56" si="10">K44/H44</f>
        <v>9.5642573774027705E-9</v>
      </c>
      <c r="O44" s="4"/>
      <c r="P44" s="29">
        <v>2.1557299999999998E-3</v>
      </c>
      <c r="Q44" s="2"/>
    </row>
    <row r="45" spans="1:19" s="4" customFormat="1" x14ac:dyDescent="0.3">
      <c r="A45" s="4">
        <v>0.5</v>
      </c>
      <c r="B45" s="9">
        <f t="shared" si="8"/>
        <v>0.20148367752532464</v>
      </c>
      <c r="C45" s="10">
        <v>1.055E-2</v>
      </c>
      <c r="E45" s="6">
        <v>10.636900000000001</v>
      </c>
      <c r="F45" s="6">
        <v>13.302942</v>
      </c>
      <c r="G45" s="5"/>
      <c r="H45" s="4">
        <v>1.4042408208581401</v>
      </c>
      <c r="I45" s="31"/>
      <c r="J45" s="4">
        <f>1.36221+0.0168081</f>
        <v>1.3790180999999999</v>
      </c>
      <c r="K45" s="30">
        <f t="shared" si="9"/>
        <v>6.7190549999999991E-8</v>
      </c>
      <c r="L45" s="9">
        <f t="shared" ref="L45:L56" si="11">I45/H45</f>
        <v>0</v>
      </c>
      <c r="M45" s="33">
        <f t="shared" ref="M45:M56" si="12">J45/H45</f>
        <v>0.98203818000196974</v>
      </c>
      <c r="N45" s="9">
        <f t="shared" si="10"/>
        <v>4.7848309920900489E-8</v>
      </c>
      <c r="P45" s="30">
        <v>1.0784999999999999E-2</v>
      </c>
      <c r="Q45" s="5"/>
    </row>
    <row r="46" spans="1:19" x14ac:dyDescent="0.3">
      <c r="A46">
        <v>1.5</v>
      </c>
      <c r="B46" s="11">
        <f t="shared" si="8"/>
        <v>0.60445103257597399</v>
      </c>
      <c r="C46" s="12">
        <v>3.1649999999999998E-2</v>
      </c>
      <c r="D46" s="4"/>
      <c r="E46" s="13">
        <v>6.1412170000000001</v>
      </c>
      <c r="F46" s="13">
        <v>7.6804569999999996</v>
      </c>
      <c r="G46" s="5"/>
      <c r="H46">
        <v>1.4037049162311801</v>
      </c>
      <c r="I46" s="20"/>
      <c r="J46">
        <f>1.3621+ 0.0168032</f>
        <v>1.3789032000000001</v>
      </c>
      <c r="K46" s="29">
        <f t="shared" si="9"/>
        <v>2.01536762E-7</v>
      </c>
      <c r="L46" s="11">
        <f t="shared" si="11"/>
        <v>0</v>
      </c>
      <c r="M46" s="32">
        <f t="shared" si="12"/>
        <v>0.98233124644332637</v>
      </c>
      <c r="N46" s="11">
        <f t="shared" si="10"/>
        <v>1.4357487793168658E-7</v>
      </c>
      <c r="O46" s="4"/>
      <c r="P46" s="29">
        <v>3.23494E-2</v>
      </c>
      <c r="Q46" s="2"/>
    </row>
    <row r="47" spans="1:19" s="4" customFormat="1" x14ac:dyDescent="0.3">
      <c r="A47" s="4">
        <v>15</v>
      </c>
      <c r="B47" s="9">
        <f t="shared" si="8"/>
        <v>6.044510325759739</v>
      </c>
      <c r="C47" s="10">
        <v>0.31649699999999997</v>
      </c>
      <c r="E47" s="6">
        <v>1.9420230000000001</v>
      </c>
      <c r="F47" s="6">
        <v>2.4287740000000002</v>
      </c>
      <c r="G47" s="5"/>
      <c r="H47" s="4">
        <v>1.3978225806626601</v>
      </c>
      <c r="I47" s="31"/>
      <c r="J47" s="4">
        <f>1.35891+ 0.016749</f>
        <v>1.375659</v>
      </c>
      <c r="K47" s="30">
        <f t="shared" si="9"/>
        <v>2.0174608999999998E-6</v>
      </c>
      <c r="L47" s="9">
        <f t="shared" si="11"/>
        <v>0</v>
      </c>
      <c r="M47" s="33">
        <f t="shared" si="12"/>
        <v>0.98414421045326572</v>
      </c>
      <c r="N47" s="9">
        <f t="shared" si="10"/>
        <v>1.4432882455251154E-6</v>
      </c>
      <c r="P47" s="30">
        <v>0.32383000000000001</v>
      </c>
      <c r="Q47" s="5"/>
    </row>
    <row r="48" spans="1:19" x14ac:dyDescent="0.3">
      <c r="A48">
        <v>30</v>
      </c>
      <c r="B48" s="11">
        <f t="shared" si="8"/>
        <v>12.089020651519478</v>
      </c>
      <c r="C48" s="12">
        <v>0.63299399999999995</v>
      </c>
      <c r="D48" s="4"/>
      <c r="E48" s="13">
        <v>1.373218</v>
      </c>
      <c r="F48" s="13">
        <v>1.7174020000000001</v>
      </c>
      <c r="G48" s="5"/>
      <c r="H48">
        <v>1.3935791421766499</v>
      </c>
      <c r="I48" s="16"/>
      <c r="J48">
        <f>1.35765 + 0.0167095</f>
        <v>1.3743595</v>
      </c>
      <c r="K48" s="29">
        <f t="shared" si="9"/>
        <v>4.0416128199999999E-6</v>
      </c>
      <c r="L48" s="11">
        <f t="shared" si="11"/>
        <v>0</v>
      </c>
      <c r="M48" s="32">
        <f t="shared" si="12"/>
        <v>0.98620843151639703</v>
      </c>
      <c r="N48" s="11">
        <f t="shared" si="10"/>
        <v>2.9001674161736885E-6</v>
      </c>
      <c r="O48" s="4"/>
      <c r="P48" s="29">
        <v>0.64873400000000003</v>
      </c>
      <c r="Q48" s="2"/>
    </row>
    <row r="49" spans="1:17" s="4" customFormat="1" x14ac:dyDescent="0.3">
      <c r="A49" s="4">
        <v>60</v>
      </c>
      <c r="B49" s="9">
        <f t="shared" si="8"/>
        <v>24.178041303038956</v>
      </c>
      <c r="C49" s="10">
        <v>1.265987</v>
      </c>
      <c r="E49" s="6">
        <v>0.97101199999999999</v>
      </c>
      <c r="F49" s="6">
        <v>1.2143870000000001</v>
      </c>
      <c r="G49" s="5"/>
      <c r="H49" s="4">
        <v>1.38536063754419</v>
      </c>
      <c r="I49" s="17"/>
      <c r="J49" s="4">
        <f>1.35209 + 0.0165954</f>
        <v>1.3686853999999999</v>
      </c>
      <c r="K49" s="30">
        <f t="shared" si="9"/>
        <v>8.1020526999999998E-6</v>
      </c>
      <c r="L49" s="9">
        <f t="shared" si="11"/>
        <v>0</v>
      </c>
      <c r="M49" s="33">
        <f t="shared" si="12"/>
        <v>0.9879632515229031</v>
      </c>
      <c r="N49" s="9">
        <f t="shared" si="10"/>
        <v>5.8483347082550277E-6</v>
      </c>
      <c r="P49" s="30">
        <v>1.3004899999999999</v>
      </c>
      <c r="Q49" s="5"/>
    </row>
    <row r="50" spans="1:17" x14ac:dyDescent="0.3">
      <c r="A50">
        <v>90</v>
      </c>
      <c r="B50" s="11">
        <f t="shared" si="8"/>
        <v>36.267061954558436</v>
      </c>
      <c r="C50" s="12">
        <v>1.898981</v>
      </c>
      <c r="D50" s="4"/>
      <c r="E50" s="13">
        <v>0.79282799999999998</v>
      </c>
      <c r="F50" s="13">
        <v>0.99154299999999995</v>
      </c>
      <c r="G50" s="5"/>
      <c r="H50">
        <v>1.37856347972413</v>
      </c>
      <c r="I50" s="16"/>
      <c r="J50">
        <f>1.34678 +0.0164828</f>
        <v>1.3632628</v>
      </c>
      <c r="K50" s="29">
        <f t="shared" si="9"/>
        <v>1.21776564E-5</v>
      </c>
      <c r="L50" s="11">
        <f t="shared" si="11"/>
        <v>0</v>
      </c>
      <c r="M50" s="32">
        <f t="shared" si="12"/>
        <v>0.98890099734312431</v>
      </c>
      <c r="N50" s="11">
        <f t="shared" si="10"/>
        <v>8.8335840743706049E-6</v>
      </c>
      <c r="O50" s="4"/>
      <c r="P50" s="29">
        <v>1.95468</v>
      </c>
      <c r="Q50" s="2"/>
    </row>
    <row r="51" spans="1:17" s="4" customFormat="1" x14ac:dyDescent="0.3">
      <c r="A51" s="4">
        <v>120</v>
      </c>
      <c r="B51" s="9">
        <f t="shared" si="8"/>
        <v>48.356082606077912</v>
      </c>
      <c r="C51" s="10">
        <v>2.5319750000000001</v>
      </c>
      <c r="E51" s="6">
        <v>0.68660900000000002</v>
      </c>
      <c r="F51" s="6">
        <v>0.85870100000000005</v>
      </c>
      <c r="G51" s="5"/>
      <c r="H51" s="4">
        <v>1.3699400435562701</v>
      </c>
      <c r="I51" s="17"/>
      <c r="J51" s="4">
        <f>1.34139 + 0.016384</f>
        <v>1.357774</v>
      </c>
      <c r="K51" s="30">
        <f t="shared" si="9"/>
        <v>1.6280859E-5</v>
      </c>
      <c r="L51" s="9">
        <f t="shared" si="11"/>
        <v>0</v>
      </c>
      <c r="M51" s="33">
        <f t="shared" si="12"/>
        <v>0.99111928758233259</v>
      </c>
      <c r="N51" s="9">
        <f t="shared" si="10"/>
        <v>1.1884358791159948E-5</v>
      </c>
      <c r="P51" s="30">
        <v>2.6133000000000002</v>
      </c>
      <c r="Q51" s="5"/>
    </row>
    <row r="52" spans="1:17" x14ac:dyDescent="0.3">
      <c r="A52">
        <v>150</v>
      </c>
      <c r="B52" s="11">
        <f t="shared" si="8"/>
        <v>60.445103257597395</v>
      </c>
      <c r="C52" s="12">
        <v>3.1649690000000001</v>
      </c>
      <c r="D52" s="4"/>
      <c r="E52" s="13">
        <v>0.61412199999999995</v>
      </c>
      <c r="F52" s="13">
        <v>0.76804600000000001</v>
      </c>
      <c r="G52" s="5"/>
      <c r="H52">
        <v>1.3618779251700099</v>
      </c>
      <c r="I52" s="16"/>
      <c r="J52">
        <f xml:space="preserve"> 1.33482 + 0.0162948</f>
        <v>1.3511147999999999</v>
      </c>
      <c r="K52" s="29">
        <f t="shared" si="9"/>
        <v>2.0403748399999997E-5</v>
      </c>
      <c r="L52" s="11">
        <f t="shared" si="11"/>
        <v>0</v>
      </c>
      <c r="M52" s="32">
        <f t="shared" si="12"/>
        <v>0.9920968502601536</v>
      </c>
      <c r="N52" s="11">
        <f t="shared" si="10"/>
        <v>1.4982068526775552E-5</v>
      </c>
      <c r="O52" s="4"/>
      <c r="P52" s="29">
        <v>3.27508</v>
      </c>
      <c r="Q52" s="2"/>
    </row>
    <row r="53" spans="1:17" s="4" customFormat="1" x14ac:dyDescent="0.3">
      <c r="A53" s="4">
        <v>250</v>
      </c>
      <c r="B53" s="9">
        <f t="shared" si="8"/>
        <v>100.74183876266233</v>
      </c>
      <c r="C53" s="10">
        <v>5.2749480000000002</v>
      </c>
      <c r="E53" s="6">
        <v>0.47569699999999998</v>
      </c>
      <c r="F53" s="6">
        <v>0.59492599999999995</v>
      </c>
      <c r="G53" s="5"/>
      <c r="H53" s="4">
        <v>1.34128105403747</v>
      </c>
      <c r="I53" s="17"/>
      <c r="J53" s="4">
        <f>1.32048+0.0159525</f>
        <v>1.3364325000000001</v>
      </c>
      <c r="K53" s="30">
        <f t="shared" si="9"/>
        <v>3.4383432299999996E-5</v>
      </c>
      <c r="L53" s="9">
        <f t="shared" si="11"/>
        <v>0</v>
      </c>
      <c r="M53" s="33">
        <f t="shared" si="12"/>
        <v>0.99638513194317113</v>
      </c>
      <c r="N53" s="9">
        <f t="shared" si="10"/>
        <v>2.5634770726463613E-5</v>
      </c>
      <c r="P53" s="30">
        <v>5.5190099999999997</v>
      </c>
      <c r="Q53" s="5"/>
    </row>
    <row r="54" spans="1:17" x14ac:dyDescent="0.3">
      <c r="A54">
        <v>500</v>
      </c>
      <c r="B54" s="11">
        <f t="shared" si="8"/>
        <v>201.48367752532465</v>
      </c>
      <c r="C54" s="12">
        <v>10.549896</v>
      </c>
      <c r="D54" s="4"/>
      <c r="E54" s="13">
        <v>0.336368</v>
      </c>
      <c r="F54" s="13">
        <v>0.42067599999999999</v>
      </c>
      <c r="G54" s="5"/>
      <c r="H54">
        <v>1.2896852557910301</v>
      </c>
      <c r="I54" s="16"/>
      <c r="J54">
        <f>1.28524+ 0.0151806</f>
        <v>1.3004206</v>
      </c>
      <c r="K54" s="29">
        <f>P54*$T$4*$W$3*1E-24</f>
        <v>7.059213E-5</v>
      </c>
      <c r="L54" s="11">
        <f t="shared" si="11"/>
        <v>0</v>
      </c>
      <c r="M54" s="32">
        <f t="shared" si="12"/>
        <v>1.0083240032099037</v>
      </c>
      <c r="N54" s="11">
        <f t="shared" si="10"/>
        <v>5.473593629377598E-5</v>
      </c>
      <c r="O54" s="4"/>
      <c r="P54" s="29">
        <v>11.331</v>
      </c>
      <c r="Q54" s="2"/>
    </row>
    <row r="55" spans="1:17" s="4" customFormat="1" x14ac:dyDescent="0.3">
      <c r="A55" s="4">
        <v>750</v>
      </c>
      <c r="B55" s="9">
        <f t="shared" si="8"/>
        <v>302.22551628798698</v>
      </c>
      <c r="C55" s="10">
        <v>15.824844000000001</v>
      </c>
      <c r="E55" s="6">
        <v>0.274644</v>
      </c>
      <c r="F55" s="6">
        <v>0.34348000000000001</v>
      </c>
      <c r="G55" s="5"/>
      <c r="H55" s="4">
        <v>1.24225887840578</v>
      </c>
      <c r="I55" s="17"/>
      <c r="J55" s="4">
        <f xml:space="preserve"> 1.25348 + 0.0144156</f>
        <v>1.2678955999999999</v>
      </c>
      <c r="K55" s="30">
        <f>P55*$T$4*$W$3*1E-24</f>
        <v>1.09394439E-4</v>
      </c>
      <c r="L55" s="9">
        <f t="shared" si="11"/>
        <v>0</v>
      </c>
      <c r="M55" s="33">
        <f t="shared" si="12"/>
        <v>1.0206371812187167</v>
      </c>
      <c r="N55" s="9">
        <f t="shared" si="10"/>
        <v>8.8060903328288914E-5</v>
      </c>
      <c r="P55" s="30">
        <v>17.5593</v>
      </c>
      <c r="Q55" s="5"/>
    </row>
    <row r="56" spans="1:17" x14ac:dyDescent="0.3">
      <c r="A56">
        <v>1000</v>
      </c>
      <c r="B56" s="11">
        <f t="shared" si="8"/>
        <v>402.9673550506493</v>
      </c>
      <c r="C56" s="12">
        <v>21.09958</v>
      </c>
      <c r="D56" s="4"/>
      <c r="E56" s="13">
        <v>0.23785000000000001</v>
      </c>
      <c r="F56" s="13">
        <v>0.29746400000000001</v>
      </c>
      <c r="G56" s="5"/>
      <c r="H56">
        <v>1.1938794039418501</v>
      </c>
      <c r="I56" s="16"/>
      <c r="J56">
        <f xml:space="preserve"> 1.22694+ 0.0136957</f>
        <v>1.2406356999999999</v>
      </c>
      <c r="K56" s="29">
        <f>P56*$T$4*$W$3*1E-24</f>
        <v>1.5084512099999999E-4</v>
      </c>
      <c r="L56" s="11">
        <f t="shared" si="11"/>
        <v>0</v>
      </c>
      <c r="M56" s="32">
        <f t="shared" si="12"/>
        <v>1.0391633324972136</v>
      </c>
      <c r="N56" s="11">
        <f t="shared" si="10"/>
        <v>1.263487086735497E-4</v>
      </c>
      <c r="O56" s="4"/>
      <c r="P56" s="29">
        <v>24.212700000000002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Fissile production</vt:lpstr>
      <vt:lpstr>TBR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2026-01-30T18:27:11Z</dcterms:modified>
</cp:coreProperties>
</file>