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MCNP\emma-openmc\Jupyter\"/>
    </mc:Choice>
  </mc:AlternateContent>
  <xr:revisionPtr revIDLastSave="0" documentId="13_ncr:1_{500CD8E6-2BEC-4EF0-BC21-0E33E512F863}" xr6:coauthVersionLast="47" xr6:coauthVersionMax="47" xr10:uidLastSave="{00000000-0000-0000-0000-000000000000}"/>
  <bookViews>
    <workbookView xWindow="768" yWindow="768" windowWidth="23040" windowHeight="126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K22" i="1"/>
  <c r="F21" i="1"/>
  <c r="J21" i="1" s="1"/>
  <c r="E21" i="1"/>
  <c r="K20" i="1"/>
  <c r="F19" i="1"/>
  <c r="J19" i="1" s="1"/>
  <c r="E19" i="1"/>
  <c r="I19" i="1" s="1"/>
  <c r="J17" i="1"/>
  <c r="I17" i="1"/>
  <c r="J15" i="1"/>
  <c r="K15" i="1" s="1"/>
  <c r="I15" i="1"/>
  <c r="J13" i="1"/>
  <c r="I13" i="1"/>
  <c r="J11" i="1"/>
  <c r="K11" i="1" s="1"/>
  <c r="I11" i="1"/>
  <c r="F17" i="1"/>
  <c r="E17" i="1"/>
  <c r="F13" i="1"/>
  <c r="E13" i="1"/>
  <c r="F15" i="1"/>
  <c r="E15" i="1"/>
  <c r="F11" i="1"/>
  <c r="E11" i="1"/>
  <c r="K6" i="1"/>
  <c r="K8" i="1"/>
  <c r="K10" i="1"/>
  <c r="K12" i="1"/>
  <c r="K14" i="1"/>
  <c r="K16" i="1"/>
  <c r="K18" i="1"/>
  <c r="J9" i="1"/>
  <c r="I9" i="1"/>
  <c r="F7" i="1"/>
  <c r="J7" i="1" s="1"/>
  <c r="E7" i="1"/>
  <c r="I7" i="1" s="1"/>
  <c r="F5" i="1"/>
  <c r="J5" i="1" s="1"/>
  <c r="E5" i="1"/>
  <c r="I5" i="1" s="1"/>
  <c r="K4" i="1"/>
  <c r="F3" i="1"/>
  <c r="E3" i="1"/>
  <c r="I3" i="1" s="1"/>
  <c r="J3" i="1"/>
  <c r="K19" i="1" l="1"/>
  <c r="K21" i="1"/>
  <c r="K17" i="1"/>
  <c r="K13" i="1"/>
  <c r="K9" i="1"/>
  <c r="K3" i="1"/>
  <c r="K5" i="1"/>
  <c r="K7" i="1"/>
</calcChain>
</file>

<file path=xl/sharedStrings.xml><?xml version="1.0" encoding="utf-8"?>
<sst xmlns="http://schemas.openxmlformats.org/spreadsheetml/2006/main" count="75" uniqueCount="20">
  <si>
    <t>Breeder</t>
  </si>
  <si>
    <t>BISO vol%</t>
  </si>
  <si>
    <t>Reaction</t>
  </si>
  <si>
    <t>Code</t>
  </si>
  <si>
    <t>Homogeneous</t>
  </si>
  <si>
    <t>Heterogeneous</t>
  </si>
  <si>
    <t>% Change</t>
  </si>
  <si>
    <t>FLiBe (7.5 wt% Li-6)</t>
  </si>
  <si>
    <t>FLiBe (20 wt% Li-6)</t>
  </si>
  <si>
    <t>U-238 (n,g)</t>
  </si>
  <si>
    <t>MCNP</t>
  </si>
  <si>
    <t>OpenMC</t>
  </si>
  <si>
    <t>within bounds of standev error</t>
  </si>
  <si>
    <t>Homog</t>
  </si>
  <si>
    <t>Heterog</t>
  </si>
  <si>
    <t>U-238 reaction rate</t>
  </si>
  <si>
    <t>U-238 atoms</t>
  </si>
  <si>
    <t>U-238 xs * flux</t>
  </si>
  <si>
    <t>Pb-17Li</t>
  </si>
  <si>
    <t>Li4SiO4-Be pebble 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</si>
</sst>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11" fontId="0" fillId="0" borderId="0" xfId="0" applyNumberFormat="1"/>
    <xf numFmtId="0" fontId="0" fillId="2" borderId="0" xfId="0" applyFill="1"/>
    <xf numFmtId="2" fontId="0" fillId="2" borderId="0" xfId="0" applyNumberFormat="1" applyFill="1"/>
    <xf numFmtId="11" fontId="0" fillId="2" borderId="0" xfId="0" applyNumberFormat="1" applyFill="1"/>
    <xf numFmtId="164" fontId="0" fillId="2" borderId="0" xfId="0" applyNumberFormat="1" applyFill="1"/>
    <xf numFmtId="0" fontId="0" fillId="3" borderId="0" xfId="0" applyFill="1"/>
    <xf numFmtId="0" fontId="0" fillId="4" borderId="0" xfId="0" applyFill="1"/>
    <xf numFmtId="11" fontId="0" fillId="4" borderId="0" xfId="0" applyNumberFormat="1" applyFill="1"/>
    <xf numFmtId="164" fontId="0" fillId="4" borderId="0" xfId="0" applyNumberFormat="1" applyFill="1"/>
    <xf numFmtId="2" fontId="0" fillId="4" borderId="0" xfId="0" applyNumberFormat="1" applyFill="1"/>
    <xf numFmtId="0" fontId="0" fillId="5" borderId="0" xfId="0" applyFill="1"/>
    <xf numFmtId="11" fontId="0" fillId="5" borderId="0" xfId="0" applyNumberFormat="1" applyFill="1"/>
    <xf numFmtId="164" fontId="0" fillId="5" borderId="0" xfId="0" applyNumberFormat="1" applyFill="1"/>
    <xf numFmtId="2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F26" sqref="F26"/>
    </sheetView>
  </sheetViews>
  <sheetFormatPr defaultRowHeight="14.4" x14ac:dyDescent="0.3"/>
  <cols>
    <col min="1" max="1" width="17.6640625" customWidth="1"/>
    <col min="3" max="3" width="12.77734375" customWidth="1"/>
    <col min="5" max="6" width="8.88671875" customWidth="1"/>
    <col min="9" max="9" width="17.6640625" customWidth="1"/>
    <col min="10" max="10" width="17.77734375" customWidth="1"/>
    <col min="11" max="11" width="10.21875" customWidth="1"/>
  </cols>
  <sheetData>
    <row r="1" spans="1:12" x14ac:dyDescent="0.3">
      <c r="E1" t="s">
        <v>16</v>
      </c>
      <c r="G1" t="s">
        <v>17</v>
      </c>
      <c r="I1" t="s">
        <v>15</v>
      </c>
    </row>
    <row r="2" spans="1:12" s="1" customForma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14</v>
      </c>
      <c r="F2" s="1" t="s">
        <v>13</v>
      </c>
      <c r="G2" s="1" t="s">
        <v>14</v>
      </c>
      <c r="H2" s="1" t="s">
        <v>13</v>
      </c>
      <c r="I2" s="1" t="s">
        <v>5</v>
      </c>
      <c r="J2" s="1" t="s">
        <v>4</v>
      </c>
      <c r="K2" s="1" t="s">
        <v>6</v>
      </c>
    </row>
    <row r="3" spans="1:12" x14ac:dyDescent="0.3">
      <c r="A3" t="s">
        <v>7</v>
      </c>
      <c r="B3">
        <v>1</v>
      </c>
      <c r="C3" t="s">
        <v>9</v>
      </c>
      <c r="D3" t="s">
        <v>10</v>
      </c>
      <c r="E3" s="4">
        <f>6232567000000000000*1E-24</f>
        <v>6.2325669999999991E-6</v>
      </c>
      <c r="F3" s="4">
        <f>6232567000000000000*1E-24</f>
        <v>6.2325669999999991E-6</v>
      </c>
      <c r="G3" s="4">
        <v>4913.1000000000004</v>
      </c>
      <c r="H3" s="4">
        <v>6308.03</v>
      </c>
      <c r="I3" s="3">
        <f>E3*G3</f>
        <v>3.0621224927699999E-2</v>
      </c>
      <c r="J3" s="3">
        <f>F3*H3</f>
        <v>3.9315219613009995E-2</v>
      </c>
      <c r="K3" s="2">
        <f>(J3-I3)/(I3)*100</f>
        <v>28.392053896725074</v>
      </c>
    </row>
    <row r="4" spans="1:12" x14ac:dyDescent="0.3">
      <c r="A4" t="s">
        <v>7</v>
      </c>
      <c r="B4">
        <v>1</v>
      </c>
      <c r="C4" t="s">
        <v>9</v>
      </c>
      <c r="D4" t="s">
        <v>11</v>
      </c>
      <c r="E4" s="9"/>
      <c r="F4" s="9"/>
      <c r="G4" s="9"/>
      <c r="H4" s="9"/>
      <c r="I4">
        <v>3.0574272933299802E-2</v>
      </c>
      <c r="J4">
        <v>3.9516836738959997E-2</v>
      </c>
      <c r="K4" s="2">
        <f>(J4-I4)/(I4)*100</f>
        <v>29.248655643158244</v>
      </c>
    </row>
    <row r="5" spans="1:12" s="5" customFormat="1" x14ac:dyDescent="0.3">
      <c r="A5" s="5" t="s">
        <v>7</v>
      </c>
      <c r="B5" s="5">
        <v>50</v>
      </c>
      <c r="C5" s="5" t="s">
        <v>9</v>
      </c>
      <c r="D5" s="5" t="s">
        <v>10</v>
      </c>
      <c r="E5" s="7">
        <f>6232567000000000000*1E-24</f>
        <v>6.2325669999999991E-6</v>
      </c>
      <c r="F5" s="7">
        <f>6232567000000000000*1E-24</f>
        <v>6.2325669999999991E-6</v>
      </c>
      <c r="G5" s="7">
        <v>149553</v>
      </c>
      <c r="H5" s="7">
        <v>152384</v>
      </c>
      <c r="I5" s="8">
        <f>E5*G5</f>
        <v>0.93209909255099987</v>
      </c>
      <c r="J5" s="8">
        <f>F5*H5</f>
        <v>0.94974348972799982</v>
      </c>
      <c r="K5" s="6">
        <f t="shared" ref="K5:K18" si="0">(J5-I5)/(I5)*100</f>
        <v>1.8929743970364967</v>
      </c>
    </row>
    <row r="6" spans="1:12" s="5" customFormat="1" x14ac:dyDescent="0.3">
      <c r="A6" s="5" t="s">
        <v>7</v>
      </c>
      <c r="B6" s="5">
        <v>50</v>
      </c>
      <c r="C6" s="5" t="s">
        <v>9</v>
      </c>
      <c r="D6" s="5" t="s">
        <v>11</v>
      </c>
      <c r="E6" s="9"/>
      <c r="F6" s="9"/>
      <c r="G6" s="9"/>
      <c r="H6" s="9"/>
      <c r="I6" s="5">
        <v>0.93020452583258595</v>
      </c>
      <c r="J6" s="5">
        <v>0.94697819279682405</v>
      </c>
      <c r="K6" s="6">
        <f t="shared" si="0"/>
        <v>1.8032235383099984</v>
      </c>
    </row>
    <row r="7" spans="1:12" x14ac:dyDescent="0.3">
      <c r="A7" t="s">
        <v>8</v>
      </c>
      <c r="B7">
        <v>1</v>
      </c>
      <c r="C7" t="s">
        <v>9</v>
      </c>
      <c r="D7" t="s">
        <v>10</v>
      </c>
      <c r="E7" s="4">
        <f>6232567000000000000*1E-24</f>
        <v>6.2325669999999991E-6</v>
      </c>
      <c r="F7" s="4">
        <f>6232567000000000000*1E-24</f>
        <v>6.2325669999999991E-6</v>
      </c>
      <c r="G7" s="4">
        <v>1641.78</v>
      </c>
      <c r="H7" s="4">
        <v>1777.8</v>
      </c>
      <c r="I7" s="3">
        <f>E7*G7</f>
        <v>1.0232503849259998E-2</v>
      </c>
      <c r="J7" s="3">
        <f>F7*H7</f>
        <v>1.1080257612599998E-2</v>
      </c>
      <c r="K7" s="2">
        <f t="shared" si="0"/>
        <v>8.2849102803055263</v>
      </c>
    </row>
    <row r="8" spans="1:12" x14ac:dyDescent="0.3">
      <c r="A8" t="s">
        <v>8</v>
      </c>
      <c r="B8">
        <v>1</v>
      </c>
      <c r="C8" t="s">
        <v>9</v>
      </c>
      <c r="D8" t="s">
        <v>11</v>
      </c>
      <c r="E8" s="9"/>
      <c r="F8" s="9"/>
      <c r="G8" s="9"/>
      <c r="H8" s="9"/>
      <c r="I8">
        <v>1.02427912078737E-2</v>
      </c>
      <c r="J8">
        <v>1.10613928503859E-2</v>
      </c>
      <c r="K8" s="2">
        <f t="shared" si="0"/>
        <v>7.991978220574639</v>
      </c>
    </row>
    <row r="9" spans="1:12" s="5" customFormat="1" x14ac:dyDescent="0.3">
      <c r="A9" s="5" t="s">
        <v>8</v>
      </c>
      <c r="B9" s="5">
        <v>50</v>
      </c>
      <c r="C9" s="5" t="s">
        <v>9</v>
      </c>
      <c r="D9" s="5" t="s">
        <v>10</v>
      </c>
      <c r="E9" s="7">
        <v>6.2325669999999991E-6</v>
      </c>
      <c r="F9" s="5">
        <v>6.2325669999999991E-6</v>
      </c>
      <c r="G9" s="7">
        <v>96653</v>
      </c>
      <c r="H9" s="7">
        <v>98655.1</v>
      </c>
      <c r="I9" s="8">
        <f>E9*G9</f>
        <v>0.60239629825099994</v>
      </c>
      <c r="J9" s="8">
        <f>F9*H9</f>
        <v>0.61487452064170001</v>
      </c>
      <c r="K9" s="6">
        <f t="shared" si="0"/>
        <v>2.0714307884907979</v>
      </c>
    </row>
    <row r="10" spans="1:12" s="5" customFormat="1" x14ac:dyDescent="0.3">
      <c r="A10" s="5" t="s">
        <v>8</v>
      </c>
      <c r="B10" s="5">
        <v>50</v>
      </c>
      <c r="C10" s="5" t="s">
        <v>9</v>
      </c>
      <c r="D10" s="5" t="s">
        <v>11</v>
      </c>
      <c r="E10" s="9"/>
      <c r="F10" s="9"/>
      <c r="G10" s="9"/>
      <c r="H10" s="9"/>
      <c r="I10" s="5">
        <v>0.60165632336806896</v>
      </c>
      <c r="J10" s="5">
        <v>0.61356951235521495</v>
      </c>
      <c r="K10" s="6">
        <f t="shared" si="0"/>
        <v>1.980065450065583</v>
      </c>
    </row>
    <row r="11" spans="1:12" x14ac:dyDescent="0.3">
      <c r="A11" t="s">
        <v>18</v>
      </c>
      <c r="B11">
        <v>1</v>
      </c>
      <c r="C11" t="s">
        <v>9</v>
      </c>
      <c r="D11" t="s">
        <v>10</v>
      </c>
      <c r="E11" s="4">
        <f>6232567000000000000*1E-24</f>
        <v>6.2325669999999991E-6</v>
      </c>
      <c r="F11" s="4">
        <f>6232567000000000000*1E-24</f>
        <v>6.2325669999999991E-6</v>
      </c>
      <c r="G11" s="4">
        <v>1845.16</v>
      </c>
      <c r="H11" s="4">
        <v>1842.98</v>
      </c>
      <c r="I11" s="3">
        <f>E11*G11</f>
        <v>1.1500083325719999E-2</v>
      </c>
      <c r="J11" s="3">
        <f>F11*H11</f>
        <v>1.1486496329659998E-2</v>
      </c>
      <c r="K11" s="2">
        <f t="shared" si="0"/>
        <v>-0.11814693576709925</v>
      </c>
    </row>
    <row r="12" spans="1:12" x14ac:dyDescent="0.3">
      <c r="A12" t="s">
        <v>18</v>
      </c>
      <c r="B12">
        <v>1</v>
      </c>
      <c r="C12" t="s">
        <v>9</v>
      </c>
      <c r="D12" t="s">
        <v>11</v>
      </c>
      <c r="E12" s="9"/>
      <c r="F12" s="9"/>
      <c r="G12" s="9"/>
      <c r="H12" s="9"/>
      <c r="I12">
        <v>1.15306060871428E-2</v>
      </c>
      <c r="J12">
        <v>1.15425436500511E-2</v>
      </c>
      <c r="K12" s="2">
        <f t="shared" si="0"/>
        <v>0.10352936192669759</v>
      </c>
      <c r="L12" t="s">
        <v>12</v>
      </c>
    </row>
    <row r="13" spans="1:12" s="5" customFormat="1" x14ac:dyDescent="0.3">
      <c r="A13" s="5" t="s">
        <v>18</v>
      </c>
      <c r="B13" s="5">
        <v>50</v>
      </c>
      <c r="C13" s="5" t="s">
        <v>9</v>
      </c>
      <c r="D13" s="5" t="s">
        <v>10</v>
      </c>
      <c r="E13" s="7">
        <f>6232567000000000000*1E-24</f>
        <v>6.2325669999999991E-6</v>
      </c>
      <c r="F13" s="7">
        <f>6232567000000000000*1E-24</f>
        <v>6.2325669999999991E-6</v>
      </c>
      <c r="G13" s="7">
        <v>123885</v>
      </c>
      <c r="H13" s="7">
        <v>124640</v>
      </c>
      <c r="I13" s="8">
        <f>E13*G13</f>
        <v>0.77212156279499988</v>
      </c>
      <c r="J13" s="8">
        <f>F13*H13</f>
        <v>0.77682715087999987</v>
      </c>
      <c r="K13" s="6">
        <f t="shared" si="0"/>
        <v>0.60943617064212652</v>
      </c>
    </row>
    <row r="14" spans="1:12" s="5" customFormat="1" x14ac:dyDescent="0.3">
      <c r="A14" s="5" t="s">
        <v>18</v>
      </c>
      <c r="B14" s="5">
        <v>50</v>
      </c>
      <c r="C14" s="5" t="s">
        <v>9</v>
      </c>
      <c r="D14" s="5" t="s">
        <v>11</v>
      </c>
      <c r="E14" s="9"/>
      <c r="F14" s="9"/>
      <c r="G14" s="9"/>
      <c r="H14" s="9"/>
      <c r="I14" s="5">
        <v>0.77162643756430105</v>
      </c>
      <c r="J14" s="5">
        <v>0.778336649097635</v>
      </c>
      <c r="K14" s="6">
        <f t="shared" si="0"/>
        <v>0.86961918444827513</v>
      </c>
    </row>
    <row r="15" spans="1:12" x14ac:dyDescent="0.3">
      <c r="A15" t="s">
        <v>19</v>
      </c>
      <c r="B15">
        <v>1</v>
      </c>
      <c r="C15" t="s">
        <v>9</v>
      </c>
      <c r="D15" t="s">
        <v>10</v>
      </c>
      <c r="E15" s="4">
        <f>6232567000000000000*1E-24</f>
        <v>6.2325669999999991E-6</v>
      </c>
      <c r="F15" s="4">
        <f>6232567000000000000*1E-24</f>
        <v>6.2325669999999991E-6</v>
      </c>
      <c r="G15" s="4">
        <v>2749.52</v>
      </c>
      <c r="H15" s="4">
        <v>3834.44</v>
      </c>
      <c r="I15" s="3">
        <f>E15*G15</f>
        <v>1.7136567617839996E-2</v>
      </c>
      <c r="J15" s="3">
        <f>F15*H15</f>
        <v>2.3898404207479997E-2</v>
      </c>
      <c r="K15" s="2">
        <f t="shared" si="0"/>
        <v>39.458523669585979</v>
      </c>
    </row>
    <row r="16" spans="1:12" x14ac:dyDescent="0.3">
      <c r="A16" t="s">
        <v>19</v>
      </c>
      <c r="B16">
        <v>1</v>
      </c>
      <c r="C16" t="s">
        <v>9</v>
      </c>
      <c r="D16" t="s">
        <v>11</v>
      </c>
      <c r="E16" s="9"/>
      <c r="F16" s="9"/>
      <c r="G16" s="9"/>
      <c r="H16" s="9"/>
      <c r="I16">
        <v>1.7093076791392901E-2</v>
      </c>
      <c r="J16">
        <v>2.3854150630574E-2</v>
      </c>
      <c r="K16" s="2">
        <f t="shared" si="0"/>
        <v>39.554457759094547</v>
      </c>
    </row>
    <row r="17" spans="1:11" s="5" customFormat="1" x14ac:dyDescent="0.3">
      <c r="A17" s="5" t="s">
        <v>19</v>
      </c>
      <c r="B17" s="5">
        <v>50</v>
      </c>
      <c r="C17" s="5" t="s">
        <v>9</v>
      </c>
      <c r="D17" s="5" t="s">
        <v>10</v>
      </c>
      <c r="E17" s="7">
        <f>6232567000000000000*1E-24</f>
        <v>6.2325669999999991E-6</v>
      </c>
      <c r="F17" s="7">
        <f>6232567000000000000*1E-24</f>
        <v>6.2325669999999991E-6</v>
      </c>
      <c r="G17" s="7">
        <v>100095</v>
      </c>
      <c r="H17" s="7">
        <v>101466</v>
      </c>
      <c r="I17" s="8">
        <f>E17*G17</f>
        <v>0.62384879386499992</v>
      </c>
      <c r="J17" s="8">
        <f>F17*H17</f>
        <v>0.63239364322199987</v>
      </c>
      <c r="K17" s="6">
        <f t="shared" si="0"/>
        <v>1.3696987861531469</v>
      </c>
    </row>
    <row r="18" spans="1:11" s="5" customFormat="1" x14ac:dyDescent="0.3">
      <c r="A18" s="5" t="s">
        <v>19</v>
      </c>
      <c r="B18" s="5">
        <v>50</v>
      </c>
      <c r="C18" s="5" t="s">
        <v>9</v>
      </c>
      <c r="D18" s="5" t="s">
        <v>11</v>
      </c>
      <c r="E18" s="9"/>
      <c r="F18" s="9"/>
      <c r="G18" s="9"/>
      <c r="H18" s="9"/>
      <c r="I18" s="5">
        <v>0.62426839266462397</v>
      </c>
      <c r="J18" s="5">
        <v>0.63221071094595604</v>
      </c>
      <c r="K18" s="6">
        <f t="shared" si="0"/>
        <v>1.2722601968411571</v>
      </c>
    </row>
    <row r="19" spans="1:11" s="10" customFormat="1" x14ac:dyDescent="0.3">
      <c r="A19" s="10" t="s">
        <v>19</v>
      </c>
      <c r="B19" s="10">
        <v>1</v>
      </c>
      <c r="C19" s="10" t="s">
        <v>9</v>
      </c>
      <c r="D19" s="10" t="s">
        <v>10</v>
      </c>
      <c r="E19" s="11">
        <f>6232567000000000000*1E-24</f>
        <v>6.2325669999999991E-6</v>
      </c>
      <c r="F19" s="11">
        <f>6232567000000000000*1E-24</f>
        <v>6.2325669999999991E-6</v>
      </c>
      <c r="G19" s="11">
        <v>2724.22</v>
      </c>
      <c r="H19" s="11">
        <v>3834.44</v>
      </c>
      <c r="I19" s="12">
        <f>E19*G19</f>
        <v>1.6978883672739996E-2</v>
      </c>
      <c r="J19" s="12">
        <f>F19*H19</f>
        <v>2.3898404207479997E-2</v>
      </c>
      <c r="K19" s="13">
        <f t="shared" ref="K19:K22" si="1">(J19-I19)/(I19)*100</f>
        <v>40.753683623202249</v>
      </c>
    </row>
    <row r="20" spans="1:11" s="10" customFormat="1" x14ac:dyDescent="0.3">
      <c r="A20" s="10" t="s">
        <v>19</v>
      </c>
      <c r="B20" s="10">
        <v>1</v>
      </c>
      <c r="C20" s="10" t="s">
        <v>9</v>
      </c>
      <c r="D20" s="10" t="s">
        <v>11</v>
      </c>
      <c r="E20" s="9"/>
      <c r="F20" s="9"/>
      <c r="G20" s="9"/>
      <c r="H20" s="9"/>
      <c r="J20" s="10">
        <v>2.3854150630574E-2</v>
      </c>
      <c r="K20" s="13" t="e">
        <f t="shared" si="1"/>
        <v>#DIV/0!</v>
      </c>
    </row>
    <row r="21" spans="1:11" s="14" customFormat="1" x14ac:dyDescent="0.3">
      <c r="A21" s="14" t="s">
        <v>19</v>
      </c>
      <c r="B21" s="14">
        <v>50</v>
      </c>
      <c r="C21" s="14" t="s">
        <v>9</v>
      </c>
      <c r="D21" s="14" t="s">
        <v>10</v>
      </c>
      <c r="E21" s="15">
        <f>6232567000000000000*1E-24</f>
        <v>6.2325669999999991E-6</v>
      </c>
      <c r="F21" s="15">
        <f>6232567000000000000*1E-24</f>
        <v>6.2325669999999991E-6</v>
      </c>
      <c r="G21" s="15">
        <v>84061.5</v>
      </c>
      <c r="H21" s="15">
        <v>101466</v>
      </c>
      <c r="I21" s="16">
        <f>E21*G21</f>
        <v>0.5239189308704999</v>
      </c>
      <c r="J21" s="16">
        <f>F21*H21</f>
        <v>0.63239364322199987</v>
      </c>
      <c r="K21" s="17">
        <f t="shared" si="1"/>
        <v>20.704484216912615</v>
      </c>
    </row>
    <row r="22" spans="1:11" s="14" customFormat="1" x14ac:dyDescent="0.3">
      <c r="A22" s="14" t="s">
        <v>19</v>
      </c>
      <c r="B22" s="14">
        <v>50</v>
      </c>
      <c r="C22" s="14" t="s">
        <v>9</v>
      </c>
      <c r="D22" s="14" t="s">
        <v>11</v>
      </c>
      <c r="E22" s="9"/>
      <c r="F22" s="9"/>
      <c r="G22" s="9"/>
      <c r="H22" s="9"/>
      <c r="J22" s="14">
        <v>0.63221071094595604</v>
      </c>
      <c r="K22" s="17" t="e">
        <f t="shared" si="1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Park</dc:creator>
  <cp:lastModifiedBy>Patrick Park</cp:lastModifiedBy>
  <dcterms:created xsi:type="dcterms:W3CDTF">2015-06-05T18:17:20Z</dcterms:created>
  <dcterms:modified xsi:type="dcterms:W3CDTF">2025-11-24T17:40:06Z</dcterms:modified>
</cp:coreProperties>
</file>