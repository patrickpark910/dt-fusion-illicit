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gretali/Downloads/"/>
    </mc:Choice>
  </mc:AlternateContent>
  <xr:revisionPtr revIDLastSave="0" documentId="13_ncr:1_{81AF2495-C8DE-734B-BC09-4F7E29660EC1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room temp density LiBe" sheetId="3" r:id="rId1"/>
    <sheet name="900k density LiB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3" l="1"/>
  <c r="J27" i="3" s="1"/>
  <c r="T16" i="3"/>
  <c r="R16" i="3"/>
  <c r="Q16" i="3"/>
  <c r="P16" i="3"/>
  <c r="O16" i="3"/>
  <c r="T15" i="3"/>
  <c r="R15" i="3"/>
  <c r="Q15" i="3"/>
  <c r="P15" i="3"/>
  <c r="O15" i="3"/>
  <c r="T14" i="3"/>
  <c r="R14" i="3"/>
  <c r="Q14" i="3"/>
  <c r="P14" i="3"/>
  <c r="O14" i="3"/>
  <c r="T13" i="3"/>
  <c r="R13" i="3"/>
  <c r="Q13" i="3"/>
  <c r="P13" i="3"/>
  <c r="O13" i="3"/>
  <c r="T12" i="3"/>
  <c r="R12" i="3"/>
  <c r="Q12" i="3"/>
  <c r="P12" i="3"/>
  <c r="O12" i="3"/>
  <c r="T11" i="3"/>
  <c r="R11" i="3"/>
  <c r="Q11" i="3"/>
  <c r="P11" i="3"/>
  <c r="O11" i="3"/>
  <c r="T10" i="3"/>
  <c r="R10" i="3"/>
  <c r="Q10" i="3"/>
  <c r="P10" i="3"/>
  <c r="O10" i="3"/>
  <c r="T9" i="3"/>
  <c r="R9" i="3"/>
  <c r="Q9" i="3"/>
  <c r="P9" i="3"/>
  <c r="O9" i="3"/>
  <c r="T8" i="3"/>
  <c r="R8" i="3"/>
  <c r="Q8" i="3"/>
  <c r="P8" i="3"/>
  <c r="O8" i="3"/>
  <c r="T7" i="3"/>
  <c r="R7" i="3"/>
  <c r="Q7" i="3"/>
  <c r="P7" i="3"/>
  <c r="O7" i="3"/>
  <c r="T6" i="3"/>
  <c r="R6" i="3"/>
  <c r="Q6" i="3"/>
  <c r="P6" i="3"/>
  <c r="O6" i="3"/>
  <c r="T5" i="3"/>
  <c r="R5" i="3"/>
  <c r="Q5" i="3"/>
  <c r="P5" i="3"/>
  <c r="O5" i="3"/>
  <c r="T4" i="3"/>
  <c r="R4" i="3"/>
  <c r="Q4" i="3"/>
  <c r="P4" i="3"/>
  <c r="O4" i="3"/>
  <c r="Q5" i="2"/>
  <c r="Q6" i="2"/>
  <c r="Q7" i="2"/>
  <c r="Q8" i="2"/>
  <c r="Q9" i="2"/>
  <c r="Q10" i="2"/>
  <c r="Q11" i="2"/>
  <c r="Q12" i="2"/>
  <c r="Q13" i="2"/>
  <c r="Q14" i="2"/>
  <c r="Q15" i="2"/>
  <c r="Q16" i="2"/>
  <c r="Q4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J26" i="2"/>
  <c r="J27" i="2" s="1"/>
  <c r="T5" i="2"/>
  <c r="T6" i="2"/>
  <c r="T7" i="2"/>
  <c r="T8" i="2"/>
  <c r="T9" i="2"/>
  <c r="T10" i="2"/>
  <c r="T11" i="2"/>
  <c r="T12" i="2"/>
  <c r="T13" i="2"/>
  <c r="T14" i="2"/>
  <c r="T15" i="2"/>
  <c r="T16" i="2"/>
  <c r="T4" i="2"/>
  <c r="R5" i="2"/>
  <c r="R6" i="2"/>
  <c r="R7" i="2"/>
  <c r="R8" i="2"/>
  <c r="R9" i="2"/>
  <c r="R10" i="2"/>
  <c r="R11" i="2"/>
  <c r="R12" i="2"/>
  <c r="R13" i="2"/>
  <c r="R14" i="2"/>
  <c r="R15" i="2"/>
  <c r="R16" i="2"/>
  <c r="R4" i="2"/>
  <c r="P5" i="2"/>
  <c r="P6" i="2"/>
  <c r="P7" i="2"/>
  <c r="P8" i="2"/>
  <c r="P9" i="2"/>
  <c r="P10" i="2"/>
  <c r="P11" i="2"/>
  <c r="P12" i="2"/>
  <c r="P13" i="2"/>
  <c r="P14" i="2"/>
  <c r="P15" i="2"/>
  <c r="P16" i="2"/>
  <c r="P4" i="2"/>
  <c r="B13" i="3" l="1"/>
  <c r="B9" i="3"/>
  <c r="B5" i="3"/>
  <c r="B14" i="3"/>
  <c r="B10" i="3"/>
  <c r="B6" i="3"/>
  <c r="B15" i="3"/>
  <c r="B11" i="3"/>
  <c r="B7" i="3"/>
  <c r="B16" i="3"/>
  <c r="B12" i="3"/>
  <c r="B8" i="3"/>
  <c r="B4" i="3"/>
  <c r="B5" i="2"/>
  <c r="B11" i="2" l="1"/>
  <c r="B13" i="2"/>
  <c r="B15" i="2"/>
  <c r="B14" i="2"/>
  <c r="B16" i="2"/>
  <c r="B12" i="2"/>
  <c r="B8" i="2"/>
  <c r="B6" i="2"/>
  <c r="B10" i="2"/>
  <c r="B7" i="2"/>
  <c r="B4" i="2"/>
  <c r="B9" i="2"/>
</calcChain>
</file>

<file path=xl/sharedStrings.xml><?xml version="1.0" encoding="utf-8"?>
<sst xmlns="http://schemas.openxmlformats.org/spreadsheetml/2006/main" count="103" uniqueCount="78">
  <si>
    <t>Fertile kg/m3</t>
  </si>
  <si>
    <t>BISO/cm3</t>
  </si>
  <si>
    <t>A</t>
  </si>
  <si>
    <t>B</t>
  </si>
  <si>
    <t>C</t>
  </si>
  <si>
    <t>RESULTS</t>
  </si>
  <si>
    <t>Value</t>
  </si>
  <si>
    <t>Name</t>
  </si>
  <si>
    <t>V_uo2</t>
  </si>
  <si>
    <t>b1 [cm]</t>
  </si>
  <si>
    <t>b2 [cm]</t>
  </si>
  <si>
    <t>VARIABLES</t>
  </si>
  <si>
    <t>Factor change</t>
  </si>
  <si>
    <t>Rate [rxns/src-n]</t>
  </si>
  <si>
    <t>D</t>
  </si>
  <si>
    <t>BV vol%</t>
  </si>
  <si>
    <t>=A/D</t>
  </si>
  <si>
    <t>=B/D</t>
  </si>
  <si>
    <t>=C/D</t>
  </si>
  <si>
    <t>factor</t>
  </si>
  <si>
    <t>3.99251e-05 +/- 1.6038e-07</t>
  </si>
  <si>
    <t xml:space="preserve"> 0.000198474 +/- 6.28734e-07</t>
  </si>
  <si>
    <t>0.0391466 +/- 7.64941e-05</t>
  </si>
  <si>
    <t>0.0327342 +/- 9.46932e-05</t>
  </si>
  <si>
    <t>0.0586572 +/- 0.000145704</t>
  </si>
  <si>
    <t>0.000598174 +/- 4.02999e-06</t>
  </si>
  <si>
    <t>0.0259804 +/- 6.36486e-05</t>
  </si>
  <si>
    <t>0.00547309 +/- 2.44694e-05</t>
  </si>
  <si>
    <t>0.0102721 +/- 4.05274e-05</t>
  </si>
  <si>
    <t>0.0186217 +/- 5.06774e-05</t>
  </si>
  <si>
    <t>0.10155 +/- 0.000164201</t>
  </si>
  <si>
    <t>0.141158 +/- 0.000299684</t>
  </si>
  <si>
    <t>0.180107 +/- 0.000227399</t>
  </si>
  <si>
    <t>0.173171 +/- 0.000290275</t>
  </si>
  <si>
    <t>0.132875 +/- 0.000134538</t>
  </si>
  <si>
    <t>0.0920797 +/- 0.000199951</t>
  </si>
  <si>
    <t>0.049226 +/- 0.000129078</t>
  </si>
  <si>
    <t>0.0307348 +/- 7.85152e-05</t>
  </si>
  <si>
    <t>0.0248865 +/- 0.000104706</t>
  </si>
  <si>
    <t>0.0189812 +/- 7.88481e-05</t>
  </si>
  <si>
    <t>0.0127973 +/- 3.81919e-05</t>
  </si>
  <si>
    <t>0.00646565 +/- 3.70322e-05</t>
  </si>
  <si>
    <t>0.00325018 +/- 1.8399e-05</t>
  </si>
  <si>
    <t>0.000319019 +/- 7.95985e-06</t>
  </si>
  <si>
    <t>9.72519e-05 +/- 3.93472e-06</t>
  </si>
  <si>
    <t>2.12928e-05 +/- 1.56517e-06</t>
  </si>
  <si>
    <t>=B/D GE</t>
  </si>
  <si>
    <t>=A/D GE</t>
  </si>
  <si>
    <t>Het - GE rand - (~2000 BISO packed)</t>
  </si>
  <si>
    <t>may need to run more batches for this, lot of error</t>
  </si>
  <si>
    <t>Hom - GE - 1e5 particles, 10 batches</t>
  </si>
  <si>
    <t>3.43298e-05 +/- 1.44999e-07</t>
  </si>
  <si>
    <t>0.000172253 +/- 8.3381e-07</t>
  </si>
  <si>
    <t>0.000511066 +/- 2.50736e-06</t>
  </si>
  <si>
    <t>0.00477882 +/- 2.54686e-05</t>
  </si>
  <si>
    <t>0.00897735 +/- 2.29988e-05</t>
  </si>
  <si>
    <t>0.0163095 +/- 5.91333e-05</t>
  </si>
  <si>
    <t>0.0228564 +/- 4.46228e-05</t>
  </si>
  <si>
    <t>0.029006 +/- 7.24457e-05</t>
  </si>
  <si>
    <t>0.0349465 +/- 9.78727e-05</t>
  </si>
  <si>
    <t xml:space="preserve"> 0.0523815 +/- 9.37573e-05</t>
  </si>
  <si>
    <t>0.0921715 +/- 0.00020336</t>
  </si>
  <si>
    <t>0.128777 +/- 0.000260842</t>
  </si>
  <si>
    <t>0.165571 +/- 0.000244782</t>
  </si>
  <si>
    <t>changed Li4SiO4 and Beryllium densities</t>
  </si>
  <si>
    <t>1.89229e-05 +/- 3.07012e-06</t>
  </si>
  <si>
    <t>9.49416e-05 +/- 2.97116e-06</t>
  </si>
  <si>
    <t>0.000302985 +/- 8.63949e-06</t>
  </si>
  <si>
    <t>0.00289172 +/- 3.49806e-05</t>
  </si>
  <si>
    <t>0.00582808 +/- 2.77889e-05</t>
  </si>
  <si>
    <t>0.0113985 +/- 3.99501e-05</t>
  </si>
  <si>
    <t>0.01691 +/- 6.52278e-05</t>
  </si>
  <si>
    <t xml:space="preserve"> 0.0221647 +/- 4.36626e-05</t>
  </si>
  <si>
    <t xml:space="preserve"> 0.0276419 +/- 0.000124249</t>
  </si>
  <si>
    <t xml:space="preserve"> 0.0441978 +/- 0.000107492</t>
  </si>
  <si>
    <t xml:space="preserve"> 0.0838558 +/- 0.000212597</t>
  </si>
  <si>
    <t xml:space="preserve"> 0.121196 +/- 0.000220448</t>
  </si>
  <si>
    <t xml:space="preserve"> 0.159091 +/- 0.000250461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</si>
</sst>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2" fontId="0" fillId="4" borderId="0" xfId="0" applyNumberFormat="1" applyFill="1"/>
    <xf numFmtId="0" fontId="1" fillId="2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5" borderId="0" xfId="0" applyFill="1"/>
    <xf numFmtId="0" fontId="1" fillId="2" borderId="0" xfId="0" quotePrefix="1" applyFont="1" applyFill="1"/>
    <xf numFmtId="0" fontId="2" fillId="0" borderId="0" xfId="0" applyFont="1"/>
    <xf numFmtId="0" fontId="3" fillId="3" borderId="0" xfId="0" applyFont="1" applyFill="1"/>
    <xf numFmtId="0" fontId="2" fillId="2" borderId="0" xfId="0" applyFont="1" applyFill="1"/>
    <xf numFmtId="11" fontId="3" fillId="0" borderId="0" xfId="0" applyNumberFormat="1" applyFont="1"/>
    <xf numFmtId="11" fontId="3" fillId="4" borderId="0" xfId="0" applyNumberFormat="1" applyFont="1" applyFill="1"/>
    <xf numFmtId="0" fontId="3" fillId="0" borderId="0" xfId="0" applyFont="1"/>
    <xf numFmtId="166" fontId="3" fillId="0" borderId="0" xfId="0" applyNumberFormat="1" applyFont="1"/>
    <xf numFmtId="0" fontId="2" fillId="2" borderId="0" xfId="0" quotePrefix="1" applyFont="1" applyFill="1"/>
    <xf numFmtId="165" fontId="3" fillId="0" borderId="0" xfId="0" applyNumberFormat="1" applyFont="1"/>
    <xf numFmtId="165" fontId="3" fillId="4" borderId="0" xfId="0" applyNumberFormat="1" applyFont="1" applyFill="1"/>
    <xf numFmtId="165" fontId="0" fillId="5" borderId="0" xfId="0" applyNumberFormat="1" applyFill="1"/>
    <xf numFmtId="165" fontId="2" fillId="2" borderId="0" xfId="0" quotePrefix="1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DAFE-86E2-F245-808D-D8792F380201}">
  <dimension ref="A1:T36"/>
  <sheetViews>
    <sheetView tabSelected="1" topLeftCell="A2" zoomScale="193" zoomScaleNormal="130" workbookViewId="0">
      <selection activeCell="F19" sqref="F19"/>
    </sheetView>
  </sheetViews>
  <sheetFormatPr baseColWidth="10" defaultColWidth="8.83203125" defaultRowHeight="15" x14ac:dyDescent="0.2"/>
  <cols>
    <col min="1" max="1" width="12.33203125" customWidth="1"/>
    <col min="2" max="3" width="8.83203125" customWidth="1"/>
    <col min="4" max="4" width="1.83203125" customWidth="1"/>
    <col min="5" max="6" width="8" customWidth="1"/>
    <col min="7" max="7" width="2.1640625" customWidth="1"/>
    <col min="8" max="8" width="10.83203125" customWidth="1"/>
    <col min="9" max="9" width="28.5" style="21" customWidth="1"/>
    <col min="10" max="10" width="10.5" customWidth="1"/>
    <col min="11" max="11" width="29.33203125" style="21" customWidth="1"/>
    <col min="12" max="13" width="10.5" customWidth="1"/>
    <col min="14" max="14" width="1.83203125" customWidth="1"/>
    <col min="15" max="15" width="9.6640625" style="11" customWidth="1"/>
    <col min="16" max="17" width="8.6640625" customWidth="1"/>
    <col min="18" max="19" width="9.5" customWidth="1"/>
    <col min="20" max="20" width="8.33203125" customWidth="1"/>
    <col min="21" max="21" width="2.83203125" customWidth="1"/>
  </cols>
  <sheetData>
    <row r="1" spans="1:20" x14ac:dyDescent="0.2">
      <c r="H1" s="1" t="s">
        <v>5</v>
      </c>
      <c r="I1" s="16" t="s">
        <v>64</v>
      </c>
    </row>
    <row r="2" spans="1:20" x14ac:dyDescent="0.2">
      <c r="H2" s="3" t="s">
        <v>13</v>
      </c>
      <c r="I2" s="17"/>
      <c r="J2" s="3"/>
      <c r="K2" s="17" t="s">
        <v>49</v>
      </c>
      <c r="L2" s="3"/>
      <c r="M2" s="3"/>
      <c r="O2" s="26" t="s">
        <v>12</v>
      </c>
      <c r="P2" s="14"/>
      <c r="Q2" s="14"/>
      <c r="R2" s="14"/>
      <c r="S2" s="14"/>
      <c r="T2" s="14"/>
    </row>
    <row r="3" spans="1:20" s="7" customFormat="1" x14ac:dyDescent="0.2">
      <c r="A3" s="7" t="s">
        <v>0</v>
      </c>
      <c r="B3" s="7" t="s">
        <v>1</v>
      </c>
      <c r="C3" s="7" t="s">
        <v>15</v>
      </c>
      <c r="E3" s="7" t="s">
        <v>9</v>
      </c>
      <c r="F3" s="7" t="s">
        <v>10</v>
      </c>
      <c r="H3" s="7" t="s">
        <v>14</v>
      </c>
      <c r="I3" s="18" t="s">
        <v>50</v>
      </c>
      <c r="J3" s="7" t="s">
        <v>2</v>
      </c>
      <c r="K3" s="18" t="s">
        <v>48</v>
      </c>
      <c r="L3" s="7" t="s">
        <v>3</v>
      </c>
      <c r="M3" s="7" t="s">
        <v>4</v>
      </c>
      <c r="O3" s="27" t="s">
        <v>47</v>
      </c>
      <c r="P3" s="15" t="s">
        <v>16</v>
      </c>
      <c r="Q3" s="23" t="s">
        <v>46</v>
      </c>
      <c r="R3" s="15" t="s">
        <v>17</v>
      </c>
      <c r="S3" s="15"/>
      <c r="T3" s="15" t="s">
        <v>18</v>
      </c>
    </row>
    <row r="4" spans="1:20" x14ac:dyDescent="0.2">
      <c r="A4">
        <v>0.1</v>
      </c>
      <c r="B4" s="10">
        <f t="shared" ref="B4:B16" si="0">A4*$J$27</f>
        <v>4.0296735505064935E-2</v>
      </c>
      <c r="C4" s="10">
        <v>2.1099999999999999E-3</v>
      </c>
      <c r="E4" s="13">
        <v>23.784832000000002</v>
      </c>
      <c r="F4" s="13">
        <v>29.746282999999998</v>
      </c>
      <c r="G4" s="2"/>
      <c r="H4" s="2">
        <v>3.52725672373683E-5</v>
      </c>
      <c r="I4" s="19" t="s">
        <v>51</v>
      </c>
      <c r="J4" s="2">
        <v>3.5162900000000002E-5</v>
      </c>
      <c r="K4" s="19" t="s">
        <v>65</v>
      </c>
      <c r="L4" s="2">
        <v>6.2188300000000001E-6</v>
      </c>
      <c r="M4" s="2"/>
      <c r="N4" s="2"/>
      <c r="O4" s="24">
        <f xml:space="preserve"> VALUE(LEFT(I4, FIND("+/-", I4)-1))/H4</f>
        <v>0.97327194159064445</v>
      </c>
      <c r="P4" s="11">
        <f>J4/H4</f>
        <v>0.99689086318468723</v>
      </c>
      <c r="Q4" s="24">
        <f xml:space="preserve"> VALUE(LEFT(K4, FIND("+/-", K4)-1))/H4</f>
        <v>0.53647640311116307</v>
      </c>
      <c r="R4" s="11">
        <f>L4/H4</f>
        <v>0.17630783600609815</v>
      </c>
      <c r="S4" s="11"/>
      <c r="T4" s="13">
        <f>M4/H4</f>
        <v>0</v>
      </c>
    </row>
    <row r="5" spans="1:20" s="4" customFormat="1" x14ac:dyDescent="0.2">
      <c r="A5" s="4">
        <v>0.5</v>
      </c>
      <c r="B5" s="8">
        <f t="shared" si="0"/>
        <v>0.20148367752532464</v>
      </c>
      <c r="C5" s="8">
        <v>1.055E-2</v>
      </c>
      <c r="E5" s="6">
        <v>10.636900000000001</v>
      </c>
      <c r="F5" s="6">
        <v>13.302942</v>
      </c>
      <c r="G5" s="5"/>
      <c r="H5" s="5">
        <v>1.76088265923015E-4</v>
      </c>
      <c r="I5" s="20" t="s">
        <v>52</v>
      </c>
      <c r="J5" s="5">
        <v>1.7669699999999999E-4</v>
      </c>
      <c r="K5" s="20" t="s">
        <v>66</v>
      </c>
      <c r="L5" s="5">
        <v>3.4790399999999998E-5</v>
      </c>
      <c r="M5" s="5"/>
      <c r="N5" s="5"/>
      <c r="O5" s="25">
        <f t="shared" ref="O5:O16" si="1" xml:space="preserve"> VALUE(LEFT(I5, FIND("+/-", I5)-1))/H5</f>
        <v>0.97821963943530599</v>
      </c>
      <c r="P5" s="9">
        <f t="shared" ref="P5:P16" si="2">J5/H5</f>
        <v>1.0034569826319439</v>
      </c>
      <c r="Q5" s="24">
        <f t="shared" ref="Q5:Q16" si="3" xml:space="preserve"> VALUE(LEFT(K5, FIND("+/-", K5)-1))/H5</f>
        <v>0.53917050918945408</v>
      </c>
      <c r="R5" s="9">
        <f t="shared" ref="R5:R16" si="4">L5/H5</f>
        <v>0.19757364193256469</v>
      </c>
      <c r="S5" s="9"/>
      <c r="T5" s="6">
        <f t="shared" ref="T5:T16" si="5">M5/H5</f>
        <v>0</v>
      </c>
    </row>
    <row r="6" spans="1:20" x14ac:dyDescent="0.2">
      <c r="A6">
        <v>1.5</v>
      </c>
      <c r="B6" s="10">
        <f t="shared" si="0"/>
        <v>0.60445103257597399</v>
      </c>
      <c r="C6" s="10">
        <v>3.1649999999999998E-2</v>
      </c>
      <c r="E6" s="13">
        <v>6.1412170000000001</v>
      </c>
      <c r="F6" s="13">
        <v>7.6804569999999996</v>
      </c>
      <c r="G6" s="2"/>
      <c r="H6" s="2">
        <v>5.2684723504348998E-4</v>
      </c>
      <c r="I6" s="19" t="s">
        <v>53</v>
      </c>
      <c r="J6" s="2">
        <v>5.2894699999999999E-4</v>
      </c>
      <c r="K6" s="19" t="s">
        <v>67</v>
      </c>
      <c r="L6" s="2">
        <v>1.07774E-4</v>
      </c>
      <c r="M6" s="2"/>
      <c r="N6" s="2"/>
      <c r="O6" s="24">
        <f t="shared" si="1"/>
        <v>0.970045899468017</v>
      </c>
      <c r="P6" s="11">
        <f t="shared" si="2"/>
        <v>1.0039855290430377</v>
      </c>
      <c r="Q6" s="24">
        <f t="shared" si="3"/>
        <v>0.57509080402593227</v>
      </c>
      <c r="R6" s="11">
        <f t="shared" si="4"/>
        <v>0.20456404215750229</v>
      </c>
      <c r="S6" s="11"/>
      <c r="T6" s="13">
        <f t="shared" si="5"/>
        <v>0</v>
      </c>
    </row>
    <row r="7" spans="1:20" s="4" customFormat="1" x14ac:dyDescent="0.2">
      <c r="A7" s="4">
        <v>15</v>
      </c>
      <c r="B7" s="8">
        <f t="shared" si="0"/>
        <v>6.044510325759739</v>
      </c>
      <c r="C7" s="8">
        <v>0.31649699999999997</v>
      </c>
      <c r="E7" s="6">
        <v>1.9420230000000001</v>
      </c>
      <c r="F7" s="6">
        <v>2.4287740000000002</v>
      </c>
      <c r="G7" s="5"/>
      <c r="H7" s="5">
        <v>5.02535867346246E-3</v>
      </c>
      <c r="I7" s="20" t="s">
        <v>54</v>
      </c>
      <c r="J7" s="5">
        <v>5.0301599999999997E-3</v>
      </c>
      <c r="K7" s="20" t="s">
        <v>68</v>
      </c>
      <c r="L7" s="5">
        <v>9.837540000000001E-4</v>
      </c>
      <c r="M7" s="5"/>
      <c r="N7" s="5"/>
      <c r="O7" s="25">
        <f t="shared" si="1"/>
        <v>0.95094107913841786</v>
      </c>
      <c r="P7" s="9">
        <f t="shared" si="2"/>
        <v>1.0009554196724095</v>
      </c>
      <c r="Q7" s="24">
        <f t="shared" si="3"/>
        <v>0.57542559405170013</v>
      </c>
      <c r="R7" s="9">
        <f t="shared" si="4"/>
        <v>0.1957579675247729</v>
      </c>
      <c r="S7" s="9"/>
      <c r="T7" s="6">
        <f t="shared" si="5"/>
        <v>0</v>
      </c>
    </row>
    <row r="8" spans="1:20" x14ac:dyDescent="0.2">
      <c r="A8">
        <v>30</v>
      </c>
      <c r="B8" s="10">
        <f t="shared" si="0"/>
        <v>12.089020651519478</v>
      </c>
      <c r="C8" s="10">
        <v>0.63299399999999995</v>
      </c>
      <c r="E8" s="13">
        <v>1.373218</v>
      </c>
      <c r="F8" s="13">
        <v>1.7174020000000001</v>
      </c>
      <c r="G8" s="2"/>
      <c r="H8" s="2">
        <v>9.6096776712520909E-3</v>
      </c>
      <c r="I8" s="19" t="s">
        <v>55</v>
      </c>
      <c r="J8" s="2">
        <v>9.5466400000000003E-3</v>
      </c>
      <c r="K8" s="19" t="s">
        <v>69</v>
      </c>
      <c r="L8" s="2">
        <v>1.9574700000000002E-3</v>
      </c>
      <c r="M8" s="2"/>
      <c r="N8" s="2"/>
      <c r="O8" s="24">
        <f t="shared" si="1"/>
        <v>0.9341988677576839</v>
      </c>
      <c r="P8" s="11">
        <f t="shared" si="2"/>
        <v>0.99344018879627238</v>
      </c>
      <c r="Q8" s="24">
        <f t="shared" si="3"/>
        <v>0.60648027950355088</v>
      </c>
      <c r="R8" s="11">
        <f t="shared" si="4"/>
        <v>0.20369777915193613</v>
      </c>
      <c r="S8" s="11"/>
      <c r="T8" s="13">
        <f t="shared" si="5"/>
        <v>0</v>
      </c>
    </row>
    <row r="9" spans="1:20" s="4" customFormat="1" x14ac:dyDescent="0.2">
      <c r="A9" s="4">
        <v>60</v>
      </c>
      <c r="B9" s="8">
        <f t="shared" si="0"/>
        <v>24.178041303038956</v>
      </c>
      <c r="C9" s="8">
        <v>1.265987</v>
      </c>
      <c r="E9" s="6">
        <v>0.97101199999999999</v>
      </c>
      <c r="F9" s="6">
        <v>1.2143870000000001</v>
      </c>
      <c r="G9" s="5"/>
      <c r="H9" s="5">
        <v>1.7956202904139199E-2</v>
      </c>
      <c r="I9" s="20" t="s">
        <v>56</v>
      </c>
      <c r="J9" s="5">
        <v>1.7839399999999998E-2</v>
      </c>
      <c r="K9" s="20" t="s">
        <v>70</v>
      </c>
      <c r="L9" s="5">
        <v>3.77656E-3</v>
      </c>
      <c r="M9" s="5"/>
      <c r="N9" s="5"/>
      <c r="O9" s="25">
        <f t="shared" si="1"/>
        <v>0.90829336731544696</v>
      </c>
      <c r="P9" s="9">
        <f t="shared" si="2"/>
        <v>0.99349512228377224</v>
      </c>
      <c r="Q9" s="24">
        <f t="shared" si="3"/>
        <v>0.63479456435483139</v>
      </c>
      <c r="R9" s="9">
        <f t="shared" si="4"/>
        <v>0.21032063516777488</v>
      </c>
      <c r="S9" s="9"/>
      <c r="T9" s="6">
        <f t="shared" si="5"/>
        <v>0</v>
      </c>
    </row>
    <row r="10" spans="1:20" x14ac:dyDescent="0.2">
      <c r="A10">
        <v>90</v>
      </c>
      <c r="B10" s="10">
        <f t="shared" si="0"/>
        <v>36.267061954558436</v>
      </c>
      <c r="C10" s="10">
        <v>1.898981</v>
      </c>
      <c r="E10" s="13">
        <v>0.79282799999999998</v>
      </c>
      <c r="F10" s="13">
        <v>0.99154299999999995</v>
      </c>
      <c r="G10" s="2"/>
      <c r="H10" s="2">
        <v>2.54716677488637E-2</v>
      </c>
      <c r="I10" s="19" t="s">
        <v>57</v>
      </c>
      <c r="J10" s="2">
        <v>2.5426299999999999E-2</v>
      </c>
      <c r="K10" s="19" t="s">
        <v>71</v>
      </c>
      <c r="L10" s="2">
        <v>5.35463E-3</v>
      </c>
      <c r="M10" s="2"/>
      <c r="N10" s="2"/>
      <c r="O10" s="24">
        <f t="shared" si="1"/>
        <v>0.89732640301967004</v>
      </c>
      <c r="P10" s="11">
        <f t="shared" si="2"/>
        <v>0.99821889366212679</v>
      </c>
      <c r="Q10" s="24">
        <f t="shared" si="3"/>
        <v>0.66387486546711738</v>
      </c>
      <c r="R10" s="11">
        <f t="shared" si="4"/>
        <v>0.21021905800568838</v>
      </c>
      <c r="S10" s="11"/>
      <c r="T10" s="13">
        <f t="shared" si="5"/>
        <v>0</v>
      </c>
    </row>
    <row r="11" spans="1:20" s="4" customFormat="1" x14ac:dyDescent="0.2">
      <c r="A11" s="4">
        <v>120</v>
      </c>
      <c r="B11" s="8">
        <f t="shared" si="0"/>
        <v>48.356082606077912</v>
      </c>
      <c r="C11" s="8">
        <v>2.5319750000000001</v>
      </c>
      <c r="E11" s="6">
        <v>0.68660900000000002</v>
      </c>
      <c r="F11" s="6">
        <v>0.85870100000000005</v>
      </c>
      <c r="G11" s="5"/>
      <c r="H11" s="5">
        <v>3.2417642839879697E-2</v>
      </c>
      <c r="I11" s="20" t="s">
        <v>58</v>
      </c>
      <c r="J11" s="5">
        <v>3.2291500000000001E-2</v>
      </c>
      <c r="K11" s="20" t="s">
        <v>72</v>
      </c>
      <c r="L11" s="5">
        <v>7.2558700000000002E-3</v>
      </c>
      <c r="M11" s="5"/>
      <c r="N11" s="5"/>
      <c r="O11" s="25">
        <f t="shared" si="1"/>
        <v>0.89475968821265606</v>
      </c>
      <c r="P11" s="9">
        <f t="shared" si="2"/>
        <v>0.99610882134451439</v>
      </c>
      <c r="Q11" s="24">
        <f t="shared" si="3"/>
        <v>0.68372336969341019</v>
      </c>
      <c r="R11" s="9">
        <f t="shared" si="4"/>
        <v>0.22382472519173843</v>
      </c>
      <c r="S11" s="9"/>
      <c r="T11" s="6">
        <f t="shared" si="5"/>
        <v>0</v>
      </c>
    </row>
    <row r="12" spans="1:20" x14ac:dyDescent="0.2">
      <c r="A12">
        <v>150</v>
      </c>
      <c r="B12" s="10">
        <f t="shared" si="0"/>
        <v>60.445103257597395</v>
      </c>
      <c r="C12" s="10">
        <v>3.1649690000000001</v>
      </c>
      <c r="E12" s="13">
        <v>0.61412199999999995</v>
      </c>
      <c r="F12" s="13">
        <v>0.76804600000000001</v>
      </c>
      <c r="G12" s="2"/>
      <c r="H12" s="2">
        <v>3.9055212834252402E-2</v>
      </c>
      <c r="I12" s="19" t="s">
        <v>59</v>
      </c>
      <c r="J12" s="2">
        <v>3.9017400000000001E-2</v>
      </c>
      <c r="K12" s="19" t="s">
        <v>73</v>
      </c>
      <c r="L12" s="2">
        <v>8.6777399999999998E-3</v>
      </c>
      <c r="M12" s="2"/>
      <c r="N12" s="2"/>
      <c r="O12" s="24">
        <f t="shared" si="1"/>
        <v>0.89479732573243187</v>
      </c>
      <c r="P12" s="11">
        <f t="shared" si="2"/>
        <v>0.99903181082605086</v>
      </c>
      <c r="Q12" s="24">
        <f t="shared" si="3"/>
        <v>0.70776467452143443</v>
      </c>
      <c r="R12" s="11">
        <f t="shared" si="4"/>
        <v>0.22219159416254425</v>
      </c>
      <c r="S12" s="11"/>
      <c r="T12" s="13">
        <f t="shared" si="5"/>
        <v>0</v>
      </c>
    </row>
    <row r="13" spans="1:20" s="4" customFormat="1" x14ac:dyDescent="0.2">
      <c r="A13" s="4">
        <v>250</v>
      </c>
      <c r="B13" s="8">
        <f t="shared" si="0"/>
        <v>100.74183876266233</v>
      </c>
      <c r="C13" s="8">
        <v>5.2749480000000002</v>
      </c>
      <c r="E13" s="6">
        <v>0.47569699999999998</v>
      </c>
      <c r="F13" s="6">
        <v>0.59492599999999995</v>
      </c>
      <c r="G13" s="5"/>
      <c r="H13" s="5">
        <v>5.8983323870902299E-2</v>
      </c>
      <c r="I13" s="20" t="s">
        <v>60</v>
      </c>
      <c r="J13" s="5">
        <v>5.9058800000000002E-2</v>
      </c>
      <c r="K13" s="20" t="s">
        <v>74</v>
      </c>
      <c r="L13" s="5">
        <v>1.3802999999999999E-2</v>
      </c>
      <c r="M13" s="5"/>
      <c r="N13" s="5"/>
      <c r="O13" s="25">
        <f t="shared" si="1"/>
        <v>0.88807304441926982</v>
      </c>
      <c r="P13" s="9">
        <f t="shared" si="2"/>
        <v>1.001279618104651</v>
      </c>
      <c r="Q13" s="24">
        <f t="shared" si="3"/>
        <v>0.74932704872204903</v>
      </c>
      <c r="R13" s="9">
        <f t="shared" si="4"/>
        <v>0.23401529608963434</v>
      </c>
      <c r="S13" s="9"/>
      <c r="T13" s="6">
        <f t="shared" si="5"/>
        <v>0</v>
      </c>
    </row>
    <row r="14" spans="1:20" x14ac:dyDescent="0.2">
      <c r="A14">
        <v>500</v>
      </c>
      <c r="B14" s="10">
        <f t="shared" si="0"/>
        <v>201.48367752532465</v>
      </c>
      <c r="C14" s="10">
        <v>10.549896</v>
      </c>
      <c r="E14" s="13">
        <v>0.336368</v>
      </c>
      <c r="F14" s="13">
        <v>0.42067599999999999</v>
      </c>
      <c r="G14" s="2"/>
      <c r="H14" s="2">
        <v>0.103595084893309</v>
      </c>
      <c r="I14" s="19" t="s">
        <v>61</v>
      </c>
      <c r="J14" s="2">
        <v>0.104042</v>
      </c>
      <c r="K14" s="19" t="s">
        <v>75</v>
      </c>
      <c r="L14" s="2">
        <v>2.7241999999999999E-2</v>
      </c>
      <c r="M14" s="2"/>
      <c r="N14" s="2"/>
      <c r="O14" s="24">
        <f t="shared" si="1"/>
        <v>0.88972850492787403</v>
      </c>
      <c r="P14" s="11">
        <f t="shared" si="2"/>
        <v>1.0043140570534912</v>
      </c>
      <c r="Q14" s="24">
        <f t="shared" si="3"/>
        <v>0.80945732209555887</v>
      </c>
      <c r="R14" s="11">
        <f t="shared" si="4"/>
        <v>0.2629661438866151</v>
      </c>
      <c r="S14" s="11"/>
      <c r="T14" s="13">
        <f t="shared" si="5"/>
        <v>0</v>
      </c>
    </row>
    <row r="15" spans="1:20" s="4" customFormat="1" x14ac:dyDescent="0.2">
      <c r="A15" s="4">
        <v>750</v>
      </c>
      <c r="B15" s="8">
        <f t="shared" si="0"/>
        <v>302.22551628798698</v>
      </c>
      <c r="C15" s="8">
        <v>15.824844000000001</v>
      </c>
      <c r="E15" s="6">
        <v>0.274644</v>
      </c>
      <c r="F15" s="6">
        <v>0.34348000000000001</v>
      </c>
      <c r="G15" s="5"/>
      <c r="H15" s="5">
        <v>0.14519436153500101</v>
      </c>
      <c r="I15" s="20" t="s">
        <v>62</v>
      </c>
      <c r="J15" s="5">
        <v>0.14546899999999999</v>
      </c>
      <c r="K15" s="20" t="s">
        <v>76</v>
      </c>
      <c r="L15" s="5">
        <v>3.7511500000000003E-2</v>
      </c>
      <c r="M15" s="5"/>
      <c r="N15" s="5"/>
      <c r="O15" s="25">
        <f t="shared" si="1"/>
        <v>0.88692838095477011</v>
      </c>
      <c r="P15" s="9">
        <f t="shared" si="2"/>
        <v>1.001891522935846</v>
      </c>
      <c r="Q15" s="24">
        <f t="shared" si="3"/>
        <v>0.83471560960570845</v>
      </c>
      <c r="R15" s="9">
        <f t="shared" si="4"/>
        <v>0.25835369640684952</v>
      </c>
      <c r="S15" s="9"/>
      <c r="T15" s="6">
        <f t="shared" si="5"/>
        <v>0</v>
      </c>
    </row>
    <row r="16" spans="1:20" x14ac:dyDescent="0.2">
      <c r="A16">
        <v>1000</v>
      </c>
      <c r="B16" s="10">
        <f t="shared" si="0"/>
        <v>402.9673550506493</v>
      </c>
      <c r="C16" s="10">
        <v>21.09958</v>
      </c>
      <c r="E16" s="13">
        <v>0.23785000000000001</v>
      </c>
      <c r="F16" s="13">
        <v>0.29746400000000001</v>
      </c>
      <c r="G16" s="2"/>
      <c r="H16" s="2">
        <v>0.185920101577397</v>
      </c>
      <c r="I16" s="19" t="s">
        <v>63</v>
      </c>
      <c r="J16" s="2">
        <v>0.186667</v>
      </c>
      <c r="K16" s="19" t="s">
        <v>77</v>
      </c>
      <c r="L16" s="2"/>
      <c r="O16" s="24">
        <f t="shared" si="1"/>
        <v>0.89054921224359462</v>
      </c>
      <c r="P16" s="11">
        <f t="shared" si="2"/>
        <v>1.0040173085979736</v>
      </c>
      <c r="Q16" s="24">
        <f t="shared" si="3"/>
        <v>0.8556955307695534</v>
      </c>
      <c r="R16" s="11">
        <f t="shared" si="4"/>
        <v>0</v>
      </c>
      <c r="S16" s="11"/>
      <c r="T16" s="13">
        <f t="shared" si="5"/>
        <v>0</v>
      </c>
    </row>
    <row r="17" spans="2:11" x14ac:dyDescent="0.2">
      <c r="B17" s="10"/>
      <c r="C17" s="10"/>
    </row>
    <row r="24" spans="2:11" x14ac:dyDescent="0.2">
      <c r="H24" s="1" t="s">
        <v>11</v>
      </c>
      <c r="I24" s="16"/>
    </row>
    <row r="25" spans="2:11" x14ac:dyDescent="0.2">
      <c r="G25" s="1"/>
      <c r="H25" s="1" t="s">
        <v>7</v>
      </c>
      <c r="I25" s="16"/>
      <c r="J25" s="1" t="s">
        <v>6</v>
      </c>
      <c r="K25" s="16"/>
    </row>
    <row r="26" spans="2:11" x14ac:dyDescent="0.2">
      <c r="H26" t="s">
        <v>8</v>
      </c>
      <c r="J26">
        <f>4/3*PI()*(0.04)^3</f>
        <v>2.6808257310632905E-4</v>
      </c>
    </row>
    <row r="27" spans="2:11" x14ac:dyDescent="0.2">
      <c r="H27" t="s">
        <v>19</v>
      </c>
      <c r="J27">
        <f>(238.02+32)/238.05 / J26 / 10.5 / 100^3 * 1000</f>
        <v>0.40296735505064929</v>
      </c>
    </row>
    <row r="35" spans="10:11" x14ac:dyDescent="0.2">
      <c r="J35" s="12"/>
      <c r="K35" s="22"/>
    </row>
    <row r="36" spans="10:11" x14ac:dyDescent="0.2">
      <c r="J36" s="12"/>
      <c r="K36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C2A7-2007-48F8-8A3D-08B47124466B}">
  <dimension ref="A1:T36"/>
  <sheetViews>
    <sheetView topLeftCell="I2" zoomScale="170" zoomScaleNormal="130" workbookViewId="0">
      <selection activeCell="I20" sqref="I20"/>
    </sheetView>
  </sheetViews>
  <sheetFormatPr baseColWidth="10" defaultColWidth="8.83203125" defaultRowHeight="15" x14ac:dyDescent="0.2"/>
  <cols>
    <col min="1" max="1" width="12.33203125" customWidth="1"/>
    <col min="2" max="3" width="8.83203125" customWidth="1"/>
    <col min="4" max="4" width="1.83203125" customWidth="1"/>
    <col min="5" max="6" width="8" customWidth="1"/>
    <col min="7" max="7" width="2.1640625" customWidth="1"/>
    <col min="8" max="8" width="10.83203125" customWidth="1"/>
    <col min="9" max="9" width="28.5" style="21" customWidth="1"/>
    <col min="10" max="10" width="10.5" customWidth="1"/>
    <col min="11" max="11" width="29.33203125" style="21" customWidth="1"/>
    <col min="12" max="13" width="10.5" customWidth="1"/>
    <col min="14" max="14" width="1.83203125" customWidth="1"/>
    <col min="15" max="15" width="9.6640625" style="11" customWidth="1"/>
    <col min="16" max="17" width="8.6640625" customWidth="1"/>
    <col min="18" max="19" width="9.5" customWidth="1"/>
    <col min="20" max="20" width="8.33203125" customWidth="1"/>
    <col min="21" max="21" width="2.83203125" customWidth="1"/>
  </cols>
  <sheetData>
    <row r="1" spans="1:20" x14ac:dyDescent="0.2">
      <c r="H1" s="1" t="s">
        <v>5</v>
      </c>
      <c r="I1" s="16"/>
    </row>
    <row r="2" spans="1:20" x14ac:dyDescent="0.2">
      <c r="H2" s="3" t="s">
        <v>13</v>
      </c>
      <c r="I2" s="17"/>
      <c r="J2" s="3"/>
      <c r="K2" s="17" t="s">
        <v>49</v>
      </c>
      <c r="L2" s="3"/>
      <c r="M2" s="3"/>
      <c r="O2" s="26" t="s">
        <v>12</v>
      </c>
      <c r="P2" s="14"/>
      <c r="Q2" s="14"/>
      <c r="R2" s="14"/>
      <c r="S2" s="14"/>
      <c r="T2" s="14"/>
    </row>
    <row r="3" spans="1:20" s="7" customFormat="1" x14ac:dyDescent="0.2">
      <c r="A3" s="7" t="s">
        <v>0</v>
      </c>
      <c r="B3" s="7" t="s">
        <v>1</v>
      </c>
      <c r="C3" s="7" t="s">
        <v>15</v>
      </c>
      <c r="E3" s="7" t="s">
        <v>9</v>
      </c>
      <c r="F3" s="7" t="s">
        <v>10</v>
      </c>
      <c r="H3" s="7" t="s">
        <v>14</v>
      </c>
      <c r="I3" s="18" t="s">
        <v>50</v>
      </c>
      <c r="J3" s="7" t="s">
        <v>2</v>
      </c>
      <c r="K3" s="18" t="s">
        <v>48</v>
      </c>
      <c r="L3" s="7" t="s">
        <v>3</v>
      </c>
      <c r="M3" s="7" t="s">
        <v>4</v>
      </c>
      <c r="O3" s="27" t="s">
        <v>47</v>
      </c>
      <c r="P3" s="15" t="s">
        <v>16</v>
      </c>
      <c r="Q3" s="23" t="s">
        <v>46</v>
      </c>
      <c r="R3" s="15" t="s">
        <v>17</v>
      </c>
      <c r="S3" s="15"/>
      <c r="T3" s="15" t="s">
        <v>18</v>
      </c>
    </row>
    <row r="4" spans="1:20" x14ac:dyDescent="0.2">
      <c r="A4">
        <v>0.1</v>
      </c>
      <c r="B4" s="10">
        <f t="shared" ref="B4:B16" si="0">A4*$J$27</f>
        <v>4.0296735505064935E-2</v>
      </c>
      <c r="C4" s="10">
        <v>2.1099999999999999E-3</v>
      </c>
      <c r="E4" s="13">
        <v>23.784832000000002</v>
      </c>
      <c r="F4" s="13">
        <v>29.746282999999998</v>
      </c>
      <c r="G4" s="2"/>
      <c r="H4" s="2">
        <v>3.52725672373683E-5</v>
      </c>
      <c r="I4" s="19" t="s">
        <v>20</v>
      </c>
      <c r="J4" s="2">
        <v>3.5162900000000002E-5</v>
      </c>
      <c r="K4" s="19" t="s">
        <v>45</v>
      </c>
      <c r="L4" s="2">
        <v>6.2188300000000001E-6</v>
      </c>
      <c r="M4" s="2"/>
      <c r="N4" s="2"/>
      <c r="O4" s="24">
        <f xml:space="preserve"> VALUE(LEFT(I4, FIND("+/-", I4)-1))/H4</f>
        <v>1.1319023004853113</v>
      </c>
      <c r="P4" s="11">
        <f>J4/H4</f>
        <v>0.99689086318468723</v>
      </c>
      <c r="Q4" s="24">
        <f xml:space="preserve"> VALUE(LEFT(K4, FIND("+/-", K4)-1))/H4</f>
        <v>0.60366459454763133</v>
      </c>
      <c r="R4" s="11">
        <f>L4/H4</f>
        <v>0.17630783600609815</v>
      </c>
      <c r="S4" s="11"/>
      <c r="T4" s="13">
        <f>M4/H4</f>
        <v>0</v>
      </c>
    </row>
    <row r="5" spans="1:20" s="4" customFormat="1" x14ac:dyDescent="0.2">
      <c r="A5" s="4">
        <v>0.5</v>
      </c>
      <c r="B5" s="8">
        <f t="shared" si="0"/>
        <v>0.20148367752532464</v>
      </c>
      <c r="C5" s="8">
        <v>1.055E-2</v>
      </c>
      <c r="E5" s="6">
        <v>10.636900000000001</v>
      </c>
      <c r="F5" s="6">
        <v>13.302942</v>
      </c>
      <c r="G5" s="5"/>
      <c r="H5" s="5">
        <v>1.76088265923015E-4</v>
      </c>
      <c r="I5" s="20" t="s">
        <v>21</v>
      </c>
      <c r="J5" s="5">
        <v>1.7669699999999999E-4</v>
      </c>
      <c r="K5" s="20" t="s">
        <v>44</v>
      </c>
      <c r="L5" s="5">
        <v>3.4790399999999998E-5</v>
      </c>
      <c r="M5" s="5"/>
      <c r="N5" s="5"/>
      <c r="O5" s="25">
        <f t="shared" ref="O5:O16" si="1" xml:space="preserve"> VALUE(LEFT(I5, FIND("+/-", I5)-1))/H5</f>
        <v>1.1271279148536333</v>
      </c>
      <c r="P5" s="9">
        <f t="shared" ref="P5:P16" si="2">J5/H5</f>
        <v>1.0034569826319439</v>
      </c>
      <c r="Q5" s="24">
        <f t="shared" ref="Q5:Q16" si="3" xml:space="preserve"> VALUE(LEFT(K5, FIND("+/-", K5)-1))/H5</f>
        <v>0.55229063384903854</v>
      </c>
      <c r="R5" s="9">
        <f t="shared" ref="R5:R16" si="4">L5/H5</f>
        <v>0.19757364193256469</v>
      </c>
      <c r="S5" s="9"/>
      <c r="T5" s="6">
        <f t="shared" ref="T5:T16" si="5">M5/H5</f>
        <v>0</v>
      </c>
    </row>
    <row r="6" spans="1:20" x14ac:dyDescent="0.2">
      <c r="A6">
        <v>1.5</v>
      </c>
      <c r="B6" s="10">
        <f t="shared" si="0"/>
        <v>0.60445103257597399</v>
      </c>
      <c r="C6" s="10">
        <v>3.1649999999999998E-2</v>
      </c>
      <c r="E6" s="13">
        <v>6.1412170000000001</v>
      </c>
      <c r="F6" s="13">
        <v>7.6804569999999996</v>
      </c>
      <c r="G6" s="2"/>
      <c r="H6" s="2">
        <v>5.2684723504348998E-4</v>
      </c>
      <c r="I6" s="19" t="s">
        <v>25</v>
      </c>
      <c r="J6" s="2">
        <v>5.2894699999999999E-4</v>
      </c>
      <c r="K6" s="19" t="s">
        <v>43</v>
      </c>
      <c r="L6" s="2">
        <v>1.07774E-4</v>
      </c>
      <c r="M6" s="2"/>
      <c r="N6" s="2"/>
      <c r="O6" s="24">
        <f t="shared" si="1"/>
        <v>1.135384149734832</v>
      </c>
      <c r="P6" s="11">
        <f t="shared" si="2"/>
        <v>1.0039855290430377</v>
      </c>
      <c r="Q6" s="24">
        <f t="shared" si="3"/>
        <v>0.60552467353020412</v>
      </c>
      <c r="R6" s="11">
        <f t="shared" si="4"/>
        <v>0.20456404215750229</v>
      </c>
      <c r="S6" s="11"/>
      <c r="T6" s="13">
        <f t="shared" si="5"/>
        <v>0</v>
      </c>
    </row>
    <row r="7" spans="1:20" s="4" customFormat="1" x14ac:dyDescent="0.2">
      <c r="A7" s="4">
        <v>15</v>
      </c>
      <c r="B7" s="8">
        <f t="shared" si="0"/>
        <v>6.044510325759739</v>
      </c>
      <c r="C7" s="8">
        <v>0.31649699999999997</v>
      </c>
      <c r="E7" s="6">
        <v>1.9420230000000001</v>
      </c>
      <c r="F7" s="6">
        <v>2.4287740000000002</v>
      </c>
      <c r="G7" s="5"/>
      <c r="H7" s="5">
        <v>5.02535867346246E-3</v>
      </c>
      <c r="I7" s="20" t="s">
        <v>27</v>
      </c>
      <c r="J7" s="5">
        <v>5.0301599999999997E-3</v>
      </c>
      <c r="K7" s="20" t="s">
        <v>42</v>
      </c>
      <c r="L7" s="5">
        <v>9.837540000000001E-4</v>
      </c>
      <c r="M7" s="5"/>
      <c r="N7" s="5"/>
      <c r="O7" s="25">
        <f t="shared" si="1"/>
        <v>1.0890944021372815</v>
      </c>
      <c r="P7" s="9">
        <f t="shared" si="2"/>
        <v>1.0009554196724095</v>
      </c>
      <c r="Q7" s="24">
        <f t="shared" si="3"/>
        <v>0.6467558260395041</v>
      </c>
      <c r="R7" s="9">
        <f t="shared" si="4"/>
        <v>0.1957579675247729</v>
      </c>
      <c r="S7" s="9"/>
      <c r="T7" s="6">
        <f t="shared" si="5"/>
        <v>0</v>
      </c>
    </row>
    <row r="8" spans="1:20" x14ac:dyDescent="0.2">
      <c r="A8">
        <v>30</v>
      </c>
      <c r="B8" s="10">
        <f t="shared" si="0"/>
        <v>12.089020651519478</v>
      </c>
      <c r="C8" s="10">
        <v>0.63299399999999995</v>
      </c>
      <c r="E8" s="13">
        <v>1.373218</v>
      </c>
      <c r="F8" s="13">
        <v>1.7174020000000001</v>
      </c>
      <c r="G8" s="2"/>
      <c r="H8" s="2">
        <v>9.6096776712520909E-3</v>
      </c>
      <c r="I8" s="19" t="s">
        <v>28</v>
      </c>
      <c r="J8" s="2">
        <v>9.5466400000000003E-3</v>
      </c>
      <c r="K8" s="19" t="s">
        <v>41</v>
      </c>
      <c r="L8" s="2">
        <v>1.9574700000000002E-3</v>
      </c>
      <c r="M8" s="2"/>
      <c r="N8" s="2"/>
      <c r="O8" s="24">
        <f t="shared" si="1"/>
        <v>1.0689328353571717</v>
      </c>
      <c r="P8" s="11">
        <f t="shared" si="2"/>
        <v>0.99344018879627238</v>
      </c>
      <c r="Q8" s="24">
        <f t="shared" si="3"/>
        <v>0.67282693771741875</v>
      </c>
      <c r="R8" s="11">
        <f t="shared" si="4"/>
        <v>0.20369777915193613</v>
      </c>
      <c r="S8" s="11"/>
      <c r="T8" s="13">
        <f t="shared" si="5"/>
        <v>0</v>
      </c>
    </row>
    <row r="9" spans="1:20" s="4" customFormat="1" x14ac:dyDescent="0.2">
      <c r="A9" s="4">
        <v>60</v>
      </c>
      <c r="B9" s="8">
        <f t="shared" si="0"/>
        <v>24.178041303038956</v>
      </c>
      <c r="C9" s="8">
        <v>1.265987</v>
      </c>
      <c r="E9" s="6">
        <v>0.97101199999999999</v>
      </c>
      <c r="F9" s="6">
        <v>1.2143870000000001</v>
      </c>
      <c r="G9" s="5"/>
      <c r="H9" s="5">
        <v>1.7956202904139199E-2</v>
      </c>
      <c r="I9" s="20" t="s">
        <v>29</v>
      </c>
      <c r="J9" s="5">
        <v>1.7839399999999998E-2</v>
      </c>
      <c r="K9" s="20" t="s">
        <v>40</v>
      </c>
      <c r="L9" s="5">
        <v>3.77656E-3</v>
      </c>
      <c r="M9" s="5"/>
      <c r="N9" s="5"/>
      <c r="O9" s="25">
        <f t="shared" si="1"/>
        <v>1.0370622396847273</v>
      </c>
      <c r="P9" s="9">
        <f t="shared" si="2"/>
        <v>0.99349512228377224</v>
      </c>
      <c r="Q9" s="24">
        <f t="shared" si="3"/>
        <v>0.71269522116226547</v>
      </c>
      <c r="R9" s="9">
        <f t="shared" si="4"/>
        <v>0.21032063516777488</v>
      </c>
      <c r="S9" s="9"/>
      <c r="T9" s="6">
        <f t="shared" si="5"/>
        <v>0</v>
      </c>
    </row>
    <row r="10" spans="1:20" x14ac:dyDescent="0.2">
      <c r="A10">
        <v>90</v>
      </c>
      <c r="B10" s="10">
        <f t="shared" si="0"/>
        <v>36.267061954558436</v>
      </c>
      <c r="C10" s="10">
        <v>1.898981</v>
      </c>
      <c r="E10" s="13">
        <v>0.79282799999999998</v>
      </c>
      <c r="F10" s="13">
        <v>0.99154299999999995</v>
      </c>
      <c r="G10" s="2"/>
      <c r="H10" s="2">
        <v>2.54716677488637E-2</v>
      </c>
      <c r="I10" s="19" t="s">
        <v>26</v>
      </c>
      <c r="J10" s="2">
        <v>2.5426299999999999E-2</v>
      </c>
      <c r="K10" s="19" t="s">
        <v>39</v>
      </c>
      <c r="L10" s="2">
        <v>5.35463E-3</v>
      </c>
      <c r="M10" s="2"/>
      <c r="N10" s="2"/>
      <c r="O10" s="24">
        <f t="shared" si="1"/>
        <v>1.0199724751497277</v>
      </c>
      <c r="P10" s="11">
        <f t="shared" si="2"/>
        <v>0.99821889366212679</v>
      </c>
      <c r="Q10" s="24">
        <f t="shared" si="3"/>
        <v>0.74518874017767278</v>
      </c>
      <c r="R10" s="11">
        <f t="shared" si="4"/>
        <v>0.21021905800568838</v>
      </c>
      <c r="S10" s="11"/>
      <c r="T10" s="13">
        <f t="shared" si="5"/>
        <v>0</v>
      </c>
    </row>
    <row r="11" spans="1:20" s="4" customFormat="1" x14ac:dyDescent="0.2">
      <c r="A11" s="4">
        <v>120</v>
      </c>
      <c r="B11" s="8">
        <f t="shared" si="0"/>
        <v>48.356082606077912</v>
      </c>
      <c r="C11" s="8">
        <v>2.5319750000000001</v>
      </c>
      <c r="E11" s="6">
        <v>0.68660900000000002</v>
      </c>
      <c r="F11" s="6">
        <v>0.85870100000000005</v>
      </c>
      <c r="G11" s="5"/>
      <c r="H11" s="5">
        <v>3.2417642839879697E-2</v>
      </c>
      <c r="I11" s="20" t="s">
        <v>23</v>
      </c>
      <c r="J11" s="5">
        <v>3.2291500000000001E-2</v>
      </c>
      <c r="K11" s="20" t="s">
        <v>38</v>
      </c>
      <c r="L11" s="5">
        <v>7.2558700000000002E-3</v>
      </c>
      <c r="M11" s="5"/>
      <c r="N11" s="5"/>
      <c r="O11" s="25">
        <f t="shared" si="1"/>
        <v>1.0097649653827043</v>
      </c>
      <c r="P11" s="9">
        <f t="shared" si="2"/>
        <v>0.99610882134451439</v>
      </c>
      <c r="Q11" s="24">
        <f t="shared" si="3"/>
        <v>0.76768382337117369</v>
      </c>
      <c r="R11" s="9">
        <f t="shared" si="4"/>
        <v>0.22382472519173843</v>
      </c>
      <c r="S11" s="9"/>
      <c r="T11" s="6">
        <f t="shared" si="5"/>
        <v>0</v>
      </c>
    </row>
    <row r="12" spans="1:20" x14ac:dyDescent="0.2">
      <c r="A12">
        <v>150</v>
      </c>
      <c r="B12" s="10">
        <f t="shared" si="0"/>
        <v>60.445103257597395</v>
      </c>
      <c r="C12" s="10">
        <v>3.1649690000000001</v>
      </c>
      <c r="E12" s="13">
        <v>0.61412199999999995</v>
      </c>
      <c r="F12" s="13">
        <v>0.76804600000000001</v>
      </c>
      <c r="G12" s="2"/>
      <c r="H12" s="2">
        <v>3.9055212834252402E-2</v>
      </c>
      <c r="I12" s="19" t="s">
        <v>22</v>
      </c>
      <c r="J12" s="2">
        <v>3.9017400000000001E-2</v>
      </c>
      <c r="K12" s="19" t="s">
        <v>37</v>
      </c>
      <c r="L12" s="2">
        <v>8.6777399999999998E-3</v>
      </c>
      <c r="M12" s="2"/>
      <c r="N12" s="2"/>
      <c r="O12" s="24">
        <f t="shared" si="1"/>
        <v>1.002339947963808</v>
      </c>
      <c r="P12" s="11">
        <f t="shared" si="2"/>
        <v>0.99903181082605086</v>
      </c>
      <c r="Q12" s="24">
        <f t="shared" si="3"/>
        <v>0.78695768809240252</v>
      </c>
      <c r="R12" s="11">
        <f t="shared" si="4"/>
        <v>0.22219159416254425</v>
      </c>
      <c r="S12" s="11"/>
      <c r="T12" s="13">
        <f t="shared" si="5"/>
        <v>0</v>
      </c>
    </row>
    <row r="13" spans="1:20" s="4" customFormat="1" x14ac:dyDescent="0.2">
      <c r="A13" s="4">
        <v>250</v>
      </c>
      <c r="B13" s="8">
        <f t="shared" si="0"/>
        <v>100.74183876266233</v>
      </c>
      <c r="C13" s="8">
        <v>5.2749480000000002</v>
      </c>
      <c r="E13" s="6">
        <v>0.47569699999999998</v>
      </c>
      <c r="F13" s="6">
        <v>0.59492599999999995</v>
      </c>
      <c r="G13" s="5"/>
      <c r="H13" s="5">
        <v>5.8983323870902299E-2</v>
      </c>
      <c r="I13" s="20" t="s">
        <v>24</v>
      </c>
      <c r="J13" s="5">
        <v>5.9058800000000002E-2</v>
      </c>
      <c r="K13" s="20" t="s">
        <v>36</v>
      </c>
      <c r="L13" s="5">
        <v>1.3802999999999999E-2</v>
      </c>
      <c r="M13" s="5"/>
      <c r="N13" s="5"/>
      <c r="O13" s="25">
        <f t="shared" si="1"/>
        <v>0.9944709139889083</v>
      </c>
      <c r="P13" s="9">
        <f t="shared" si="2"/>
        <v>1.001279618104651</v>
      </c>
      <c r="Q13" s="24">
        <f t="shared" si="3"/>
        <v>0.834574872513826</v>
      </c>
      <c r="R13" s="9">
        <f t="shared" si="4"/>
        <v>0.23401529608963434</v>
      </c>
      <c r="S13" s="9"/>
      <c r="T13" s="6">
        <f t="shared" si="5"/>
        <v>0</v>
      </c>
    </row>
    <row r="14" spans="1:20" x14ac:dyDescent="0.2">
      <c r="A14">
        <v>500</v>
      </c>
      <c r="B14" s="10">
        <f t="shared" si="0"/>
        <v>201.48367752532465</v>
      </c>
      <c r="C14" s="10">
        <v>10.549896</v>
      </c>
      <c r="E14" s="13">
        <v>0.336368</v>
      </c>
      <c r="F14" s="13">
        <v>0.42067599999999999</v>
      </c>
      <c r="G14" s="2"/>
      <c r="H14" s="2">
        <v>0.103595084893309</v>
      </c>
      <c r="I14" s="19" t="s">
        <v>30</v>
      </c>
      <c r="J14" s="2">
        <v>0.104042</v>
      </c>
      <c r="K14" s="19" t="s">
        <v>35</v>
      </c>
      <c r="L14" s="2">
        <v>2.7241999999999999E-2</v>
      </c>
      <c r="M14" s="2"/>
      <c r="N14" s="2"/>
      <c r="O14" s="24">
        <f t="shared" si="1"/>
        <v>0.98025886174604515</v>
      </c>
      <c r="P14" s="11">
        <f t="shared" si="2"/>
        <v>1.0043140570534912</v>
      </c>
      <c r="Q14" s="24">
        <f t="shared" si="3"/>
        <v>0.88884236250041671</v>
      </c>
      <c r="R14" s="11">
        <f t="shared" si="4"/>
        <v>0.2629661438866151</v>
      </c>
      <c r="S14" s="11"/>
      <c r="T14" s="13">
        <f t="shared" si="5"/>
        <v>0</v>
      </c>
    </row>
    <row r="15" spans="1:20" s="4" customFormat="1" x14ac:dyDescent="0.2">
      <c r="A15" s="4">
        <v>750</v>
      </c>
      <c r="B15" s="8">
        <f t="shared" si="0"/>
        <v>302.22551628798698</v>
      </c>
      <c r="C15" s="8">
        <v>15.824844000000001</v>
      </c>
      <c r="E15" s="6">
        <v>0.274644</v>
      </c>
      <c r="F15" s="6">
        <v>0.34348000000000001</v>
      </c>
      <c r="G15" s="5"/>
      <c r="H15" s="5">
        <v>0.14519436153500101</v>
      </c>
      <c r="I15" s="20" t="s">
        <v>31</v>
      </c>
      <c r="J15" s="5">
        <v>0.14546899999999999</v>
      </c>
      <c r="K15" s="20" t="s">
        <v>34</v>
      </c>
      <c r="L15" s="5">
        <v>3.7511500000000003E-2</v>
      </c>
      <c r="M15" s="5"/>
      <c r="N15" s="5"/>
      <c r="O15" s="25">
        <f t="shared" si="1"/>
        <v>0.97220028730917363</v>
      </c>
      <c r="P15" s="9">
        <f t="shared" si="2"/>
        <v>1.001891522935846</v>
      </c>
      <c r="Q15" s="24">
        <f t="shared" si="3"/>
        <v>0.91515261746558063</v>
      </c>
      <c r="R15" s="9">
        <f t="shared" si="4"/>
        <v>0.25835369640684952</v>
      </c>
      <c r="S15" s="9"/>
      <c r="T15" s="6">
        <f t="shared" si="5"/>
        <v>0</v>
      </c>
    </row>
    <row r="16" spans="1:20" x14ac:dyDescent="0.2">
      <c r="A16">
        <v>1000</v>
      </c>
      <c r="B16" s="10">
        <f t="shared" si="0"/>
        <v>402.9673550506493</v>
      </c>
      <c r="C16" s="10">
        <v>21.09958</v>
      </c>
      <c r="E16" s="13">
        <v>0.23785000000000001</v>
      </c>
      <c r="F16" s="13">
        <v>0.29746400000000001</v>
      </c>
      <c r="G16" s="2"/>
      <c r="H16" s="2">
        <v>0.185920101577397</v>
      </c>
      <c r="I16" s="19" t="s">
        <v>32</v>
      </c>
      <c r="J16" s="2">
        <v>0.186667</v>
      </c>
      <c r="K16" s="19" t="s">
        <v>33</v>
      </c>
      <c r="L16" s="2"/>
      <c r="O16" s="24">
        <f t="shared" si="1"/>
        <v>0.96873333476005519</v>
      </c>
      <c r="P16" s="11">
        <f t="shared" si="2"/>
        <v>1.0040173085979736</v>
      </c>
      <c r="Q16" s="24">
        <f t="shared" si="3"/>
        <v>0.93142698681191471</v>
      </c>
      <c r="R16" s="11">
        <f t="shared" si="4"/>
        <v>0</v>
      </c>
      <c r="S16" s="11"/>
      <c r="T16" s="13">
        <f t="shared" si="5"/>
        <v>0</v>
      </c>
    </row>
    <row r="17" spans="2:11" x14ac:dyDescent="0.2">
      <c r="B17" s="10"/>
      <c r="C17" s="10"/>
    </row>
    <row r="24" spans="2:11" x14ac:dyDescent="0.2">
      <c r="H24" s="1" t="s">
        <v>11</v>
      </c>
      <c r="I24" s="16"/>
    </row>
    <row r="25" spans="2:11" x14ac:dyDescent="0.2">
      <c r="G25" s="1"/>
      <c r="H25" s="1" t="s">
        <v>7</v>
      </c>
      <c r="I25" s="16"/>
      <c r="J25" s="1" t="s">
        <v>6</v>
      </c>
      <c r="K25" s="16"/>
    </row>
    <row r="26" spans="2:11" x14ac:dyDescent="0.2">
      <c r="H26" t="s">
        <v>8</v>
      </c>
      <c r="J26">
        <f>4/3*PI()*(0.04)^3</f>
        <v>2.6808257310632905E-4</v>
      </c>
    </row>
    <row r="27" spans="2:11" x14ac:dyDescent="0.2">
      <c r="H27" t="s">
        <v>19</v>
      </c>
      <c r="J27">
        <f>(238.02+32)/238.05 / J26 / 10.5 / 100^3 * 1000</f>
        <v>0.40296735505064929</v>
      </c>
    </row>
    <row r="35" spans="10:11" x14ac:dyDescent="0.2">
      <c r="J35" s="12"/>
      <c r="K35" s="22"/>
    </row>
    <row r="36" spans="10:11" x14ac:dyDescent="0.2">
      <c r="J36" s="12"/>
      <c r="K3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temp density LiBe</vt:lpstr>
      <vt:lpstr>900k density LiBe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Greta Li</cp:lastModifiedBy>
  <dcterms:created xsi:type="dcterms:W3CDTF">2015-06-05T18:17:20Z</dcterms:created>
  <dcterms:modified xsi:type="dcterms:W3CDTF">2026-01-05T16:21:17Z</dcterms:modified>
</cp:coreProperties>
</file>